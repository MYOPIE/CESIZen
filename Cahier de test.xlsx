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yu\Documents\Ecole\CDA\Conception solutions logicielles\Individuel\CESIZen\"/>
    </mc:Choice>
  </mc:AlternateContent>
  <xr:revisionPtr revIDLastSave="0" documentId="13_ncr:1_{6B0B8C2C-E4CF-417A-8DE7-48F3035DDEC7}" xr6:coauthVersionLast="47" xr6:coauthVersionMax="47" xr10:uidLastSave="{00000000-0000-0000-0000-000000000000}"/>
  <bookViews>
    <workbookView xWindow="38280" yWindow="3015" windowWidth="29040" windowHeight="15870" xr2:uid="{00000000-000D-0000-FFFF-FFFF00000000}"/>
  </bookViews>
  <sheets>
    <sheet name="Tests" sheetId="1" r:id="rId1"/>
    <sheet name="Légen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30" i="1"/>
  <c r="J29" i="1"/>
  <c r="J28" i="1"/>
  <c r="J21" i="1"/>
  <c r="J20" i="1"/>
  <c r="J14" i="1"/>
  <c r="J12" i="1"/>
  <c r="J9" i="1"/>
  <c r="J7" i="1"/>
  <c r="J5" i="1"/>
  <c r="J47" i="1"/>
  <c r="J46" i="1"/>
  <c r="J45" i="1"/>
  <c r="J32" i="1"/>
  <c r="J31" i="1"/>
  <c r="J25" i="1"/>
  <c r="J24" i="1"/>
  <c r="J17" i="1"/>
  <c r="J16" i="1"/>
  <c r="J13" i="1"/>
  <c r="J8" i="1"/>
  <c r="J6" i="1"/>
  <c r="J49" i="1"/>
  <c r="J44" i="1"/>
  <c r="J43" i="1"/>
  <c r="J42" i="1"/>
  <c r="J34" i="1"/>
  <c r="J27" i="1"/>
  <c r="J11" i="1"/>
  <c r="J48" i="1"/>
  <c r="J38" i="1"/>
  <c r="J37" i="1"/>
  <c r="J36" i="1"/>
  <c r="J35" i="1"/>
  <c r="J33" i="1"/>
  <c r="J26" i="1"/>
  <c r="J23" i="1"/>
  <c r="J22" i="1"/>
  <c r="J19" i="1"/>
  <c r="J18" i="1"/>
  <c r="J15" i="1"/>
  <c r="J10" i="1"/>
  <c r="J4" i="1"/>
  <c r="J3" i="1"/>
  <c r="J2" i="1"/>
  <c r="K6" i="1"/>
  <c r="K7" i="1"/>
  <c r="K8" i="1"/>
  <c r="K9" i="1"/>
  <c r="K10" i="1"/>
  <c r="K11" i="1"/>
  <c r="K12" i="1"/>
  <c r="K13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30" i="1"/>
  <c r="K31" i="1"/>
  <c r="K32" i="1"/>
  <c r="K33" i="1"/>
  <c r="K34" i="1"/>
  <c r="K35" i="1"/>
  <c r="K36" i="1"/>
  <c r="K37" i="1"/>
  <c r="K38" i="1"/>
  <c r="K43" i="1"/>
  <c r="K44" i="1"/>
  <c r="K40" i="1"/>
  <c r="K41" i="1"/>
  <c r="K46" i="1"/>
  <c r="K47" i="1"/>
  <c r="K49" i="1"/>
  <c r="K48" i="1"/>
  <c r="K45" i="1"/>
  <c r="K42" i="1"/>
  <c r="K39" i="1"/>
  <c r="K29" i="1"/>
  <c r="K21" i="1"/>
  <c r="K14" i="1"/>
  <c r="K5" i="1"/>
  <c r="K3" i="1"/>
  <c r="K4" i="1"/>
  <c r="K2" i="1"/>
  <c r="I49" i="1"/>
  <c r="I47" i="1"/>
  <c r="I46" i="1"/>
  <c r="I43" i="1"/>
  <c r="I44" i="1"/>
  <c r="I41" i="1"/>
  <c r="I40" i="1"/>
  <c r="I30" i="1"/>
  <c r="I31" i="1"/>
  <c r="I32" i="1"/>
  <c r="I33" i="1"/>
  <c r="I34" i="1"/>
  <c r="I35" i="1"/>
  <c r="I36" i="1"/>
  <c r="I37" i="1"/>
  <c r="I38" i="1"/>
  <c r="I22" i="1"/>
  <c r="I23" i="1"/>
  <c r="I24" i="1"/>
  <c r="I25" i="1"/>
  <c r="I26" i="1"/>
  <c r="I27" i="1"/>
  <c r="I28" i="1"/>
  <c r="I15" i="1"/>
  <c r="I16" i="1"/>
  <c r="I17" i="1"/>
  <c r="I18" i="1"/>
  <c r="I19" i="1"/>
  <c r="I20" i="1"/>
  <c r="I6" i="1"/>
  <c r="I7" i="1"/>
  <c r="I8" i="1"/>
  <c r="I9" i="1"/>
  <c r="I10" i="1"/>
  <c r="I11" i="1"/>
  <c r="I12" i="1"/>
  <c r="I13" i="1"/>
  <c r="I48" i="1"/>
  <c r="I45" i="1"/>
  <c r="I42" i="1"/>
  <c r="I39" i="1"/>
  <c r="I29" i="1"/>
  <c r="I21" i="1"/>
  <c r="I14" i="1"/>
  <c r="I5" i="1"/>
  <c r="I3" i="1"/>
  <c r="I4" i="1"/>
  <c r="I2" i="1"/>
  <c r="A1" i="1"/>
  <c r="B1" i="1"/>
  <c r="C1" i="1"/>
  <c r="D1" i="1"/>
  <c r="E1" i="1"/>
  <c r="F1" i="1"/>
  <c r="G1" i="1"/>
  <c r="H1" i="1"/>
  <c r="I1" i="1"/>
  <c r="J1" i="1"/>
  <c r="K1" i="1"/>
  <c r="A2" i="1"/>
  <c r="B2" i="1"/>
  <c r="C2" i="1"/>
  <c r="D2" i="1"/>
  <c r="E2" i="1"/>
  <c r="F2" i="1"/>
  <c r="G2" i="1"/>
  <c r="H2" i="1"/>
  <c r="L2" i="1"/>
  <c r="A3" i="1"/>
  <c r="B3" i="1"/>
  <c r="C3" i="1"/>
  <c r="D3" i="1"/>
  <c r="E3" i="1"/>
  <c r="F3" i="1"/>
  <c r="G3" i="1"/>
  <c r="H3" i="1"/>
  <c r="L3" i="1"/>
  <c r="A4" i="1"/>
  <c r="B4" i="1"/>
  <c r="C4" i="1"/>
  <c r="D4" i="1"/>
  <c r="E4" i="1"/>
  <c r="F4" i="1"/>
  <c r="G4" i="1"/>
  <c r="H4" i="1"/>
  <c r="L4" i="1"/>
  <c r="A5" i="1"/>
  <c r="B5" i="1"/>
  <c r="C5" i="1"/>
  <c r="D5" i="1"/>
  <c r="E5" i="1"/>
  <c r="F5" i="1"/>
  <c r="G5" i="1"/>
  <c r="H5" i="1"/>
  <c r="L5" i="1"/>
  <c r="A6" i="1"/>
  <c r="B6" i="1"/>
  <c r="C6" i="1"/>
  <c r="D6" i="1"/>
  <c r="E6" i="1"/>
  <c r="F6" i="1"/>
  <c r="G6" i="1"/>
  <c r="H6" i="1"/>
  <c r="L6" i="1"/>
  <c r="A7" i="1"/>
  <c r="B7" i="1"/>
  <c r="C7" i="1"/>
  <c r="D7" i="1"/>
  <c r="E7" i="1"/>
  <c r="F7" i="1"/>
  <c r="G7" i="1"/>
  <c r="H7" i="1"/>
  <c r="L7" i="1"/>
  <c r="A8" i="1"/>
  <c r="B8" i="1"/>
  <c r="C8" i="1"/>
  <c r="D8" i="1"/>
  <c r="E8" i="1"/>
  <c r="F8" i="1"/>
  <c r="G8" i="1"/>
  <c r="H8" i="1"/>
  <c r="L8" i="1"/>
  <c r="A9" i="1"/>
  <c r="B9" i="1"/>
  <c r="C9" i="1"/>
  <c r="D9" i="1"/>
  <c r="E9" i="1"/>
  <c r="F9" i="1"/>
  <c r="G9" i="1"/>
  <c r="H9" i="1"/>
  <c r="L9" i="1"/>
  <c r="A10" i="1"/>
  <c r="B10" i="1"/>
  <c r="C10" i="1"/>
  <c r="D10" i="1"/>
  <c r="E10" i="1"/>
  <c r="F10" i="1"/>
  <c r="G10" i="1"/>
  <c r="H10" i="1"/>
  <c r="L10" i="1"/>
  <c r="A11" i="1"/>
  <c r="B11" i="1"/>
  <c r="C11" i="1"/>
  <c r="D11" i="1"/>
  <c r="E11" i="1"/>
  <c r="F11" i="1"/>
  <c r="G11" i="1"/>
  <c r="H11" i="1"/>
  <c r="L11" i="1"/>
  <c r="A12" i="1"/>
  <c r="B12" i="1"/>
  <c r="C12" i="1"/>
  <c r="D12" i="1"/>
  <c r="E12" i="1"/>
  <c r="F12" i="1"/>
  <c r="G12" i="1"/>
  <c r="H12" i="1"/>
  <c r="L12" i="1"/>
  <c r="A13" i="1"/>
  <c r="B13" i="1"/>
  <c r="C13" i="1"/>
  <c r="D13" i="1"/>
  <c r="E13" i="1"/>
  <c r="F13" i="1"/>
  <c r="G13" i="1"/>
  <c r="H13" i="1"/>
  <c r="L13" i="1"/>
  <c r="A14" i="1"/>
  <c r="B14" i="1"/>
  <c r="C14" i="1"/>
  <c r="D14" i="1"/>
  <c r="E14" i="1"/>
  <c r="F14" i="1"/>
  <c r="G14" i="1"/>
  <c r="H14" i="1"/>
  <c r="L14" i="1"/>
  <c r="A15" i="1"/>
  <c r="B15" i="1"/>
  <c r="C15" i="1"/>
  <c r="D15" i="1"/>
  <c r="E15" i="1"/>
  <c r="F15" i="1"/>
  <c r="G15" i="1"/>
  <c r="H15" i="1"/>
  <c r="L15" i="1"/>
  <c r="A16" i="1"/>
  <c r="B16" i="1"/>
  <c r="C16" i="1"/>
  <c r="D16" i="1"/>
  <c r="E16" i="1"/>
  <c r="F16" i="1"/>
  <c r="G16" i="1"/>
  <c r="H16" i="1"/>
  <c r="L16" i="1"/>
  <c r="A17" i="1"/>
  <c r="B17" i="1"/>
  <c r="C17" i="1"/>
  <c r="D17" i="1"/>
  <c r="E17" i="1"/>
  <c r="F17" i="1"/>
  <c r="G17" i="1"/>
  <c r="H17" i="1"/>
  <c r="L17" i="1"/>
  <c r="A18" i="1"/>
  <c r="B18" i="1"/>
  <c r="C18" i="1"/>
  <c r="D18" i="1"/>
  <c r="E18" i="1"/>
  <c r="F18" i="1"/>
  <c r="G18" i="1"/>
  <c r="H18" i="1"/>
  <c r="L18" i="1"/>
  <c r="A19" i="1"/>
  <c r="B19" i="1"/>
  <c r="C19" i="1"/>
  <c r="D19" i="1"/>
  <c r="E19" i="1"/>
  <c r="F19" i="1"/>
  <c r="G19" i="1"/>
  <c r="H19" i="1"/>
  <c r="L19" i="1"/>
  <c r="A20" i="1"/>
  <c r="B20" i="1"/>
  <c r="C20" i="1"/>
  <c r="D20" i="1"/>
  <c r="E20" i="1"/>
  <c r="F20" i="1"/>
  <c r="G20" i="1"/>
  <c r="H20" i="1"/>
  <c r="L20" i="1"/>
  <c r="A21" i="1"/>
  <c r="B21" i="1"/>
  <c r="C21" i="1"/>
  <c r="D21" i="1"/>
  <c r="E21" i="1"/>
  <c r="F21" i="1"/>
  <c r="G21" i="1"/>
  <c r="H21" i="1"/>
  <c r="L21" i="1"/>
  <c r="A22" i="1"/>
  <c r="B22" i="1"/>
  <c r="C22" i="1"/>
  <c r="D22" i="1"/>
  <c r="E22" i="1"/>
  <c r="F22" i="1"/>
  <c r="G22" i="1"/>
  <c r="H22" i="1"/>
  <c r="L22" i="1"/>
  <c r="A23" i="1"/>
  <c r="B23" i="1"/>
  <c r="C23" i="1"/>
  <c r="D23" i="1"/>
  <c r="E23" i="1"/>
  <c r="F23" i="1"/>
  <c r="G23" i="1"/>
  <c r="H23" i="1"/>
  <c r="L23" i="1"/>
  <c r="A24" i="1"/>
  <c r="B24" i="1"/>
  <c r="C24" i="1"/>
  <c r="D24" i="1"/>
  <c r="E24" i="1"/>
  <c r="F24" i="1"/>
  <c r="G24" i="1"/>
  <c r="H24" i="1"/>
  <c r="L24" i="1"/>
  <c r="A25" i="1"/>
  <c r="B25" i="1"/>
  <c r="C25" i="1"/>
  <c r="D25" i="1"/>
  <c r="E25" i="1"/>
  <c r="F25" i="1"/>
  <c r="G25" i="1"/>
  <c r="H25" i="1"/>
  <c r="L25" i="1"/>
  <c r="A26" i="1"/>
  <c r="B26" i="1"/>
  <c r="C26" i="1"/>
  <c r="D26" i="1"/>
  <c r="E26" i="1"/>
  <c r="F26" i="1"/>
  <c r="G26" i="1"/>
  <c r="H26" i="1"/>
  <c r="L26" i="1"/>
  <c r="A27" i="1"/>
  <c r="B27" i="1"/>
  <c r="C27" i="1"/>
  <c r="D27" i="1"/>
  <c r="E27" i="1"/>
  <c r="F27" i="1"/>
  <c r="G27" i="1"/>
  <c r="H27" i="1"/>
  <c r="L27" i="1"/>
  <c r="A28" i="1"/>
  <c r="B28" i="1"/>
  <c r="C28" i="1"/>
  <c r="D28" i="1"/>
  <c r="E28" i="1"/>
  <c r="F28" i="1"/>
  <c r="G28" i="1"/>
  <c r="H28" i="1"/>
  <c r="L28" i="1"/>
  <c r="A29" i="1"/>
  <c r="B29" i="1"/>
  <c r="C29" i="1"/>
  <c r="D29" i="1"/>
  <c r="E29" i="1"/>
  <c r="F29" i="1"/>
  <c r="G29" i="1"/>
  <c r="H29" i="1"/>
  <c r="L29" i="1"/>
  <c r="A30" i="1"/>
  <c r="B30" i="1"/>
  <c r="C30" i="1"/>
  <c r="D30" i="1"/>
  <c r="E30" i="1"/>
  <c r="F30" i="1"/>
  <c r="G30" i="1"/>
  <c r="H30" i="1"/>
  <c r="L30" i="1"/>
  <c r="A31" i="1"/>
  <c r="B31" i="1"/>
  <c r="C31" i="1"/>
  <c r="D31" i="1"/>
  <c r="E31" i="1"/>
  <c r="F31" i="1"/>
  <c r="G31" i="1"/>
  <c r="H31" i="1"/>
  <c r="L31" i="1"/>
  <c r="A32" i="1"/>
  <c r="B32" i="1"/>
  <c r="C32" i="1"/>
  <c r="D32" i="1"/>
  <c r="E32" i="1"/>
  <c r="F32" i="1"/>
  <c r="G32" i="1"/>
  <c r="H32" i="1"/>
  <c r="L32" i="1"/>
  <c r="A33" i="1"/>
  <c r="B33" i="1"/>
  <c r="C33" i="1"/>
  <c r="D33" i="1"/>
  <c r="E33" i="1"/>
  <c r="F33" i="1"/>
  <c r="G33" i="1"/>
  <c r="H33" i="1"/>
  <c r="L33" i="1"/>
  <c r="A34" i="1"/>
  <c r="B34" i="1"/>
  <c r="C34" i="1"/>
  <c r="D34" i="1"/>
  <c r="E34" i="1"/>
  <c r="F34" i="1"/>
  <c r="G34" i="1"/>
  <c r="H34" i="1"/>
  <c r="L34" i="1"/>
  <c r="A35" i="1"/>
  <c r="B35" i="1"/>
  <c r="C35" i="1"/>
  <c r="D35" i="1"/>
  <c r="E35" i="1"/>
  <c r="F35" i="1"/>
  <c r="G35" i="1"/>
  <c r="H35" i="1"/>
  <c r="L35" i="1"/>
  <c r="A36" i="1"/>
  <c r="B36" i="1"/>
  <c r="C36" i="1"/>
  <c r="D36" i="1"/>
  <c r="E36" i="1"/>
  <c r="F36" i="1"/>
  <c r="G36" i="1"/>
  <c r="H36" i="1"/>
  <c r="L36" i="1"/>
  <c r="A37" i="1"/>
  <c r="B37" i="1"/>
  <c r="C37" i="1"/>
  <c r="D37" i="1"/>
  <c r="E37" i="1"/>
  <c r="F37" i="1"/>
  <c r="G37" i="1"/>
  <c r="H37" i="1"/>
  <c r="L37" i="1"/>
  <c r="A38" i="1"/>
  <c r="B38" i="1"/>
  <c r="C38" i="1"/>
  <c r="D38" i="1"/>
  <c r="E38" i="1"/>
  <c r="F38" i="1"/>
  <c r="G38" i="1"/>
  <c r="H38" i="1"/>
  <c r="L38" i="1"/>
  <c r="A39" i="1"/>
  <c r="B39" i="1"/>
  <c r="C39" i="1"/>
  <c r="D39" i="1"/>
  <c r="E39" i="1"/>
  <c r="F39" i="1"/>
  <c r="G39" i="1"/>
  <c r="H39" i="1"/>
  <c r="L39" i="1"/>
  <c r="A40" i="1"/>
  <c r="B40" i="1"/>
  <c r="C40" i="1"/>
  <c r="D40" i="1"/>
  <c r="E40" i="1"/>
  <c r="F40" i="1"/>
  <c r="G40" i="1"/>
  <c r="H40" i="1"/>
  <c r="L40" i="1"/>
  <c r="A41" i="1"/>
  <c r="B41" i="1"/>
  <c r="C41" i="1"/>
  <c r="D41" i="1"/>
  <c r="E41" i="1"/>
  <c r="F41" i="1"/>
  <c r="G41" i="1"/>
  <c r="H41" i="1"/>
  <c r="L41" i="1"/>
  <c r="A42" i="1"/>
  <c r="B42" i="1"/>
  <c r="C42" i="1"/>
  <c r="D42" i="1"/>
  <c r="E42" i="1"/>
  <c r="F42" i="1"/>
  <c r="G42" i="1"/>
  <c r="H42" i="1"/>
  <c r="L42" i="1"/>
  <c r="A43" i="1"/>
  <c r="B43" i="1"/>
  <c r="C43" i="1"/>
  <c r="D43" i="1"/>
  <c r="E43" i="1"/>
  <c r="F43" i="1"/>
  <c r="G43" i="1"/>
  <c r="H43" i="1"/>
  <c r="L43" i="1"/>
  <c r="A44" i="1"/>
  <c r="B44" i="1"/>
  <c r="C44" i="1"/>
  <c r="D44" i="1"/>
  <c r="E44" i="1"/>
  <c r="F44" i="1"/>
  <c r="G44" i="1"/>
  <c r="H44" i="1"/>
  <c r="L44" i="1"/>
  <c r="A45" i="1"/>
  <c r="B45" i="1"/>
  <c r="C45" i="1"/>
  <c r="D45" i="1"/>
  <c r="E45" i="1"/>
  <c r="F45" i="1"/>
  <c r="G45" i="1"/>
  <c r="H45" i="1"/>
  <c r="L45" i="1"/>
  <c r="A46" i="1"/>
  <c r="B46" i="1"/>
  <c r="C46" i="1"/>
  <c r="D46" i="1"/>
  <c r="E46" i="1"/>
  <c r="F46" i="1"/>
  <c r="G46" i="1"/>
  <c r="H46" i="1"/>
  <c r="L46" i="1"/>
  <c r="A47" i="1"/>
  <c r="B47" i="1"/>
  <c r="C47" i="1"/>
  <c r="D47" i="1"/>
  <c r="E47" i="1"/>
  <c r="F47" i="1"/>
  <c r="G47" i="1"/>
  <c r="H47" i="1"/>
  <c r="L47" i="1"/>
  <c r="A48" i="1"/>
  <c r="B48" i="1"/>
  <c r="C48" i="1"/>
  <c r="D48" i="1"/>
  <c r="E48" i="1"/>
  <c r="F48" i="1"/>
  <c r="G48" i="1"/>
  <c r="H48" i="1"/>
  <c r="L48" i="1"/>
  <c r="A49" i="1"/>
  <c r="B49" i="1"/>
  <c r="C49" i="1"/>
  <c r="D49" i="1"/>
  <c r="E49" i="1"/>
  <c r="F49" i="1"/>
  <c r="G49" i="1"/>
  <c r="H49" i="1"/>
  <c r="L49" i="1"/>
</calcChain>
</file>

<file path=xl/sharedStrings.xml><?xml version="1.0" encoding="utf-8"?>
<sst xmlns="http://schemas.openxmlformats.org/spreadsheetml/2006/main" count="13" uniqueCount="13">
  <si>
    <t>Statut</t>
  </si>
  <si>
    <t>Criticité</t>
  </si>
  <si>
    <t>Responsable</t>
  </si>
  <si>
    <t>À exécuter</t>
  </si>
  <si>
    <t>Moyenne</t>
  </si>
  <si>
    <t>Critique</t>
  </si>
  <si>
    <t>Haute</t>
  </si>
  <si>
    <t>OK</t>
  </si>
  <si>
    <t>Légende :</t>
  </si>
  <si>
    <t>KO</t>
  </si>
  <si>
    <t>Bloqué</t>
  </si>
  <si>
    <t>Faible</t>
  </si>
  <si>
    <t>DA SILVA Jocelin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</si>
</sst>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1" xfId="0" applyFill="1" applyBorder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H1" zoomScaleNormal="100" workbookViewId="0">
      <selection activeCell="L1" sqref="L1"/>
    </sheetView>
  </sheetViews>
  <sheetFormatPr baseColWidth="10" defaultRowHeight="15.75" x14ac:dyDescent="0.25"/>
  <cols>
    <col min="1" max="1" width="8.125" bestFit="1" customWidth="1"/>
    <col min="2" max="2" width="12.75" bestFit="1" customWidth="1"/>
    <col min="3" max="3" width="37.5" bestFit="1" customWidth="1"/>
    <col min="4" max="4" width="81.625" bestFit="1" customWidth="1"/>
    <col min="5" max="5" width="45" bestFit="1" customWidth="1"/>
    <col min="6" max="6" width="69.375" bestFit="1" customWidth="1"/>
    <col min="7" max="7" width="60.125" bestFit="1" customWidth="1"/>
    <col min="8" max="8" width="88.125" bestFit="1" customWidth="1"/>
    <col min="9" max="9" width="5.625" bestFit="1" customWidth="1"/>
    <col min="10" max="10" width="10.875" customWidth="1"/>
    <col min="11" max="11" width="14.25" bestFit="1" customWidth="1"/>
  </cols>
  <sheetData>
    <row r="1" spans="1:12" s="8" customFormat="1" x14ac:dyDescent="0.25">
      <c r="A1" s="8" t="str">
        <f>"ID Test"</f>
        <v>ID Test</v>
      </c>
      <c r="B1" s="8" t="str">
        <f>"Module"</f>
        <v>Module</v>
      </c>
      <c r="C1" s="8" t="str">
        <f>"Fonctionnalité"</f>
        <v>Fonctionnalité</v>
      </c>
      <c r="D1" s="8" t="str">
        <f>"Description du cas de test"</f>
        <v>Description du cas de test</v>
      </c>
      <c r="E1" s="8" t="str">
        <f>"Pré-conditions"</f>
        <v>Pré-conditions</v>
      </c>
      <c r="F1" s="8" t="str">
        <f>"Étapes"</f>
        <v>Étapes</v>
      </c>
      <c r="G1" s="8" t="str">
        <f>"Données de test"</f>
        <v>Données de test</v>
      </c>
      <c r="H1" s="8" t="str">
        <f>"Résultat attendu"</f>
        <v>Résultat attendu</v>
      </c>
      <c r="I1" s="8" t="str">
        <f>"Statut"</f>
        <v>Statut</v>
      </c>
      <c r="J1" s="8" t="str">
        <f>"Criticité"</f>
        <v>Criticité</v>
      </c>
      <c r="K1" s="8" t="str">
        <f>"Responsable"</f>
        <v>Responsable</v>
      </c>
    </row>
    <row r="2" spans="1:12" s="2" customFormat="1" x14ac:dyDescent="0.25">
      <c r="A2" s="2" t="str">
        <f>"ACC-01"</f>
        <v>ACC-01</v>
      </c>
      <c r="B2" s="2" t="str">
        <f>"Accueil"</f>
        <v>Accueil</v>
      </c>
      <c r="C2" s="2" t="str">
        <f>"Affichage page d'accueil"</f>
        <v>Affichage page d'accueil</v>
      </c>
      <c r="D2" s="2" t="str">
        <f>"Vérifier que la page d'accueil s'affiche correctement au chargement de l'application."</f>
        <v>Vérifier que la page d'accueil s'affiche correctement au chargement de l'application.</v>
      </c>
      <c r="E2" s="2" t="str">
        <f>"Application frontend et backend accessibles."</f>
        <v>Application frontend et backend accessibles.</v>
      </c>
      <c r="F2" s="2" t="str">
        <f>"Ouvrir l'URL racine de l'application."</f>
        <v>Ouvrir l'URL racine de l'application.</v>
      </c>
      <c r="G2" s="2" t="str">
        <f>"Aucune donnée."</f>
        <v>Aucune donnée.</v>
      </c>
      <c r="H2" s="2" t="str">
        <f>"La page d'accueil se charge sans erreur, avec le contenu principal et les CTA visibles."</f>
        <v>La page d'accueil se charge sans erreur, avec le contenu principal et les CTA visibles.</v>
      </c>
      <c r="I2" s="2" t="str">
        <f>Légende!B$2</f>
        <v>OK</v>
      </c>
      <c r="J2" s="2" t="str">
        <f>Légende!C$4</f>
        <v>Moyenne</v>
      </c>
      <c r="K2" s="2" t="str">
        <f>Légende!D$2</f>
        <v>DA SILVA Jocelin</v>
      </c>
      <c r="L2" s="2" t="str">
        <f>""</f>
        <v/>
      </c>
    </row>
    <row r="3" spans="1:12" s="2" customFormat="1" x14ac:dyDescent="0.25">
      <c r="A3" s="2" t="str">
        <f>"ACC-02"</f>
        <v>ACC-02</v>
      </c>
      <c r="B3" s="2" t="str">
        <f>"Accueil"</f>
        <v>Accueil</v>
      </c>
      <c r="C3" s="2" t="str">
        <f>"Navigation rapide"</f>
        <v>Navigation rapide</v>
      </c>
      <c r="D3" s="2" t="str">
        <f>"Vérifier que les liens de navigation depuis l'accueil redirigent vers les bonnes pages."</f>
        <v>Vérifier que les liens de navigation depuis l'accueil redirigent vers les bonnes pages.</v>
      </c>
      <c r="E3" s="2" t="str">
        <f>"Application ouverte sur la page d'accueil."</f>
        <v>Application ouverte sur la page d'accueil.</v>
      </c>
      <c r="F3" s="2" t="str">
        <f>"Cliquer sur les liens ou boutons vers Compte, Informations et Activités."</f>
        <v>Cliquer sur les liens ou boutons vers Compte, Informations et Activités.</v>
      </c>
      <c r="G3" s="2" t="str">
        <f>"Aucune donnée."</f>
        <v>Aucune donnée.</v>
      </c>
      <c r="H3" s="2" t="str">
        <f>"Chaque action redirige vers la route attendue sans erreur de chargement."</f>
        <v>Chaque action redirige vers la route attendue sans erreur de chargement.</v>
      </c>
      <c r="I3" s="2" t="str">
        <f>Légende!B$2</f>
        <v>OK</v>
      </c>
      <c r="J3" s="2" t="str">
        <f>Légende!C$4</f>
        <v>Moyenne</v>
      </c>
      <c r="K3" s="2" t="str">
        <f>Légende!D$2</f>
        <v>DA SILVA Jocelin</v>
      </c>
      <c r="L3" s="2" t="str">
        <f>""</f>
        <v/>
      </c>
    </row>
    <row r="4" spans="1:12" s="2" customFormat="1" x14ac:dyDescent="0.25">
      <c r="A4" s="2" t="str">
        <f>"ACC-03"</f>
        <v>ACC-03</v>
      </c>
      <c r="B4" s="2" t="str">
        <f>"Accueil"</f>
        <v>Accueil</v>
      </c>
      <c r="C4" s="2" t="str">
        <f>"Indicateurs dynamiques"</f>
        <v>Indicateurs dynamiques</v>
      </c>
      <c r="D4" s="2" t="str">
        <f>"Vérifier le chargement des compteurs dynamiques affichés sur la page d'accueil."</f>
        <v>Vérifier le chargement des compteurs dynamiques affichés sur la page d'accueil.</v>
      </c>
      <c r="E4" s="2" t="str">
        <f>"Backend opérationnel et données disponibles."</f>
        <v>Backend opérationnel et données disponibles.</v>
      </c>
      <c r="F4" s="2" t="str">
        <f>"Ouvrir l'accueil et observer les compteurs."</f>
        <v>Ouvrir l'accueil et observer les compteurs.</v>
      </c>
      <c r="G4" s="2" t="str">
        <f>"Données de démonstration en base."</f>
        <v>Données de démonstration en base.</v>
      </c>
      <c r="H4" s="2" t="str">
        <f>"Les compteurs s'affichent avec des valeurs cohérentes et sans blocage de vue."</f>
        <v>Les compteurs s'affichent avec des valeurs cohérentes et sans blocage de vue.</v>
      </c>
      <c r="I4" s="2" t="str">
        <f>Légende!B$2</f>
        <v>OK</v>
      </c>
      <c r="J4" s="2" t="str">
        <f>Légende!C$4</f>
        <v>Moyenne</v>
      </c>
      <c r="K4" s="2" t="str">
        <f>Légende!D$2</f>
        <v>DA SILVA Jocelin</v>
      </c>
      <c r="L4" s="2" t="str">
        <f>""</f>
        <v/>
      </c>
    </row>
    <row r="5" spans="1:12" s="3" customFormat="1" x14ac:dyDescent="0.25">
      <c r="A5" s="3" t="str">
        <f>"AUTH-01"</f>
        <v>AUTH-01</v>
      </c>
      <c r="B5" s="3" t="str">
        <f t="shared" ref="B5:B13" si="0">"Compte"</f>
        <v>Compte</v>
      </c>
      <c r="C5" s="3" t="str">
        <f>"Inscription utilisateur"</f>
        <v>Inscription utilisateur</v>
      </c>
      <c r="D5" s="3" t="str">
        <f>"Vérifier qu'un utilisateur peut créer un compte avec des informations valides."</f>
        <v>Vérifier qu'un utilisateur peut créer un compte avec des informations valides.</v>
      </c>
      <c r="E5" s="3" t="str">
        <f>"Aucun compte existant avec l'adresse email utilisée."</f>
        <v>Aucun compte existant avec l'adresse email utilisée.</v>
      </c>
      <c r="F5" s="3" t="str">
        <f>"Ouvrir le formulaire d'inscription, saisir les champs obligatoires, valider."</f>
        <v>Ouvrir le formulaire d'inscription, saisir les champs obligatoires, valider.</v>
      </c>
      <c r="G5" s="3" t="str">
        <f>"Email valide, mot de passe conforme, confirmation identique."</f>
        <v>Email valide, mot de passe conforme, confirmation identique.</v>
      </c>
      <c r="H5" s="3" t="str">
        <f>"Le compte est créé et un message de succès est affiché."</f>
        <v>Le compte est créé et un message de succès est affiché.</v>
      </c>
      <c r="I5" s="3" t="str">
        <f>Légende!B$2</f>
        <v>OK</v>
      </c>
      <c r="J5" s="3" t="str">
        <f>Légende!C$2</f>
        <v>Critique</v>
      </c>
      <c r="K5" s="3" t="str">
        <f>Légende!D$2</f>
        <v>DA SILVA Jocelin</v>
      </c>
      <c r="L5" s="3" t="str">
        <f>""</f>
        <v/>
      </c>
    </row>
    <row r="6" spans="1:12" s="3" customFormat="1" x14ac:dyDescent="0.25">
      <c r="A6" s="3" t="str">
        <f>"AUTH-02"</f>
        <v>AUTH-02</v>
      </c>
      <c r="B6" s="3" t="str">
        <f t="shared" si="0"/>
        <v>Compte</v>
      </c>
      <c r="C6" s="3" t="str">
        <f>"Validation inscription"</f>
        <v>Validation inscription</v>
      </c>
      <c r="D6" s="3" t="str">
        <f>"Vérifier le refus d'une inscription avec mot de passe invalide ou confirmation différente."</f>
        <v>Vérifier le refus d'une inscription avec mot de passe invalide ou confirmation différente.</v>
      </c>
      <c r="E6" s="3" t="str">
        <f>"Formulaire d'inscription accessible."</f>
        <v>Formulaire d'inscription accessible.</v>
      </c>
      <c r="F6" s="3" t="str">
        <f>"Saisir des données invalides puis valider."</f>
        <v>Saisir des données invalides puis valider.</v>
      </c>
      <c r="G6" s="3" t="str">
        <f>"Email valide, mot de passe trop court ou confirmation différente."</f>
        <v>Email valide, mot de passe trop court ou confirmation différente.</v>
      </c>
      <c r="H6" s="3" t="str">
        <f>"La création est refusée et un message d'erreur explicite est affiché."</f>
        <v>La création est refusée et un message d'erreur explicite est affiché.</v>
      </c>
      <c r="I6" s="3" t="str">
        <f>Légende!B$2</f>
        <v>OK</v>
      </c>
      <c r="J6" s="3" t="str">
        <f>Légende!C$3</f>
        <v>Haute</v>
      </c>
      <c r="K6" s="3" t="str">
        <f>Légende!D$2</f>
        <v>DA SILVA Jocelin</v>
      </c>
      <c r="L6" s="3" t="str">
        <f>""</f>
        <v/>
      </c>
    </row>
    <row r="7" spans="1:12" s="3" customFormat="1" x14ac:dyDescent="0.25">
      <c r="A7" s="3" t="str">
        <f>"AUTH-03"</f>
        <v>AUTH-03</v>
      </c>
      <c r="B7" s="3" t="str">
        <f t="shared" si="0"/>
        <v>Compte</v>
      </c>
      <c r="C7" s="3" t="str">
        <f>"Connexion utilisateur"</f>
        <v>Connexion utilisateur</v>
      </c>
      <c r="D7" s="3" t="str">
        <f>"Vérifier qu'un utilisateur peut se connecter avec des identifiants valides."</f>
        <v>Vérifier qu'un utilisateur peut se connecter avec des identifiants valides.</v>
      </c>
      <c r="E7" s="3" t="str">
        <f>"Un compte utilisateur existe déjà."</f>
        <v>Un compte utilisateur existe déjà.</v>
      </c>
      <c r="F7" s="3" t="str">
        <f>"Renseigner email et mot de passe puis valider la connexion."</f>
        <v>Renseigner email et mot de passe puis valider la connexion.</v>
      </c>
      <c r="G7" s="3" t="str">
        <f>"Compte utilisateur actif, mot de passe correct."</f>
        <v>Compte utilisateur actif, mot de passe correct.</v>
      </c>
      <c r="H7" s="3" t="str">
        <f>"L'utilisateur est authentifié, le jeton est stocké et la vue de compte bascule en mode connecté."</f>
        <v>L'utilisateur est authentifié, le jeton est stocké et la vue de compte bascule en mode connecté.</v>
      </c>
      <c r="I7" s="3" t="str">
        <f>Légende!B$2</f>
        <v>OK</v>
      </c>
      <c r="J7" s="3" t="str">
        <f>Légende!C$2</f>
        <v>Critique</v>
      </c>
      <c r="K7" s="3" t="str">
        <f>Légende!D$2</f>
        <v>DA SILVA Jocelin</v>
      </c>
      <c r="L7" s="3" t="str">
        <f>""</f>
        <v/>
      </c>
    </row>
    <row r="8" spans="1:12" s="3" customFormat="1" x14ac:dyDescent="0.25">
      <c r="A8" s="3" t="str">
        <f>"AUTH-04"</f>
        <v>AUTH-04</v>
      </c>
      <c r="B8" s="3" t="str">
        <f t="shared" si="0"/>
        <v>Compte</v>
      </c>
      <c r="C8" s="3" t="str">
        <f>"Connexion invalide"</f>
        <v>Connexion invalide</v>
      </c>
      <c r="D8" s="3" t="str">
        <f>"Vérifier le comportement en cas d'identifiants incorrects."</f>
        <v>Vérifier le comportement en cas d'identifiants incorrects.</v>
      </c>
      <c r="E8" s="3" t="str">
        <f>"Formulaire de connexion accessible."</f>
        <v>Formulaire de connexion accessible.</v>
      </c>
      <c r="F8" s="3" t="str">
        <f>"Saisir un email ou mot de passe incorrect puis valider."</f>
        <v>Saisir un email ou mot de passe incorrect puis valider.</v>
      </c>
      <c r="G8" s="3" t="str">
        <f>"Email inconnu ou mot de passe erroné."</f>
        <v>Email inconnu ou mot de passe erroné.</v>
      </c>
      <c r="H8" s="3" t="str">
        <f>"La connexion échoue et un message d'erreur est affiché sans authentification partielle."</f>
        <v>La connexion échoue et un message d'erreur est affiché sans authentification partielle.</v>
      </c>
      <c r="I8" s="3" t="str">
        <f>Légende!B$2</f>
        <v>OK</v>
      </c>
      <c r="J8" s="3" t="str">
        <f>Légende!C$3</f>
        <v>Haute</v>
      </c>
      <c r="K8" s="3" t="str">
        <f>Légende!D$2</f>
        <v>DA SILVA Jocelin</v>
      </c>
      <c r="L8" s="3" t="str">
        <f>""</f>
        <v/>
      </c>
    </row>
    <row r="9" spans="1:12" s="3" customFormat="1" x14ac:dyDescent="0.25">
      <c r="A9" s="3" t="str">
        <f>"AUTH-05"</f>
        <v>AUTH-05</v>
      </c>
      <c r="B9" s="3" t="str">
        <f t="shared" si="0"/>
        <v>Compte</v>
      </c>
      <c r="C9" s="3" t="str">
        <f>"Déconnexion"</f>
        <v>Déconnexion</v>
      </c>
      <c r="D9" s="3" t="str">
        <f>"Vérifier que la déconnexion réinitialise la session."</f>
        <v>Vérifier que la déconnexion réinitialise la session.</v>
      </c>
      <c r="E9" s="3" t="str">
        <f>"Utilisateur connecté."</f>
        <v>Utilisateur connecté.</v>
      </c>
      <c r="F9" s="3" t="str">
        <f>"Cliquer sur le bouton de déconnexion."</f>
        <v>Cliquer sur le bouton de déconnexion.</v>
      </c>
      <c r="G9" s="3" t="str">
        <f>"Session active."</f>
        <v>Session active.</v>
      </c>
      <c r="H9" s="3" t="str">
        <f>"Les données de session sont supprimées, l'interface revient à l'état non connecté."</f>
        <v>Les données de session sont supprimées, l'interface revient à l'état non connecté.</v>
      </c>
      <c r="I9" s="3" t="str">
        <f>Légende!B$2</f>
        <v>OK</v>
      </c>
      <c r="J9" s="3" t="str">
        <f>Légende!C$2</f>
        <v>Critique</v>
      </c>
      <c r="K9" s="3" t="str">
        <f>Légende!D$2</f>
        <v>DA SILVA Jocelin</v>
      </c>
      <c r="L9" s="3" t="str">
        <f>""</f>
        <v/>
      </c>
    </row>
    <row r="10" spans="1:12" s="3" customFormat="1" x14ac:dyDescent="0.25">
      <c r="A10" s="3" t="str">
        <f>"AUTH-06"</f>
        <v>AUTH-06</v>
      </c>
      <c r="B10" s="3" t="str">
        <f t="shared" si="0"/>
        <v>Compte</v>
      </c>
      <c r="C10" s="3" t="str">
        <f>"Restauration de session"</f>
        <v>Restauration de session</v>
      </c>
      <c r="D10" s="3" t="str">
        <f>"Vérifier que la session locale est restaurée au rechargement."</f>
        <v>Vérifier que la session locale est restaurée au rechargement.</v>
      </c>
      <c r="E10" s="3" t="str">
        <f>"Utilisateur déjà authentifié avec token ou profil local."</f>
        <v>Utilisateur déjà authentifié avec token ou profil local.</v>
      </c>
      <c r="F10" s="3" t="str">
        <f>"Recharger la page ou rouvrir l'application."</f>
        <v>Recharger la page ou rouvrir l'application.</v>
      </c>
      <c r="G10" s="3" t="str">
        <f>"Session locale valide."</f>
        <v>Session locale valide.</v>
      </c>
      <c r="H10" s="3" t="str">
        <f>"L'utilisateur reste identifié et ses informations sont réaffichées."</f>
        <v>L'utilisateur reste identifié et ses informations sont réaffichées.</v>
      </c>
      <c r="I10" s="3" t="str">
        <f>Légende!B$2</f>
        <v>OK</v>
      </c>
      <c r="J10" s="3" t="str">
        <f>Légende!C$4</f>
        <v>Moyenne</v>
      </c>
      <c r="K10" s="3" t="str">
        <f>Légende!D$2</f>
        <v>DA SILVA Jocelin</v>
      </c>
      <c r="L10" s="3" t="str">
        <f>""</f>
        <v/>
      </c>
    </row>
    <row r="11" spans="1:12" s="3" customFormat="1" x14ac:dyDescent="0.25">
      <c r="A11" s="3" t="str">
        <f>"AUTH-07"</f>
        <v>AUTH-07</v>
      </c>
      <c r="B11" s="3" t="str">
        <f t="shared" si="0"/>
        <v>Compte</v>
      </c>
      <c r="C11" s="3" t="str">
        <f>"Mot de passe oublié"</f>
        <v>Mot de passe oublié</v>
      </c>
      <c r="D11" s="3" t="str">
        <f>"Vérifier qu'un message explicite est affiché lorsqu'on demande une réinitialisation sans email."</f>
        <v>Vérifier qu'un message explicite est affiché lorsqu'on demande une réinitialisation sans email.</v>
      </c>
      <c r="E11" s="3" t="str">
        <f>"Formulaire de compte accessible."</f>
        <v>Formulaire de compte accessible.</v>
      </c>
      <c r="F11" s="3" t="str">
        <f>"Cliquer sur l'action mot de passe oublié sans renseigner d'adresse e-mail."</f>
        <v>Cliquer sur l'action mot de passe oublié sans renseigner d'adresse e-mail.</v>
      </c>
      <c r="G11" s="3" t="str">
        <f>"Aucun email saisi."</f>
        <v>Aucun email saisi.</v>
      </c>
      <c r="H11" s="3" t="str">
        <f>"L'application affiche une demande de saisie de l'adresse e-mail."</f>
        <v>L'application affiche une demande de saisie de l'adresse e-mail.</v>
      </c>
      <c r="I11" s="3" t="str">
        <f>Légende!B$2</f>
        <v>OK</v>
      </c>
      <c r="J11" s="3" t="str">
        <f>Légende!C$5</f>
        <v>Faible</v>
      </c>
      <c r="K11" s="3" t="str">
        <f>Légende!D$2</f>
        <v>DA SILVA Jocelin</v>
      </c>
      <c r="L11" s="3" t="str">
        <f>""</f>
        <v/>
      </c>
    </row>
    <row r="12" spans="1:12" s="3" customFormat="1" x14ac:dyDescent="0.25">
      <c r="A12" s="3" t="str">
        <f>"AUTH-08"</f>
        <v>AUTH-08</v>
      </c>
      <c r="B12" s="3" t="str">
        <f t="shared" si="0"/>
        <v>Compte</v>
      </c>
      <c r="C12" s="3" t="str">
        <f>"Inscription puis connexion"</f>
        <v>Inscription puis connexion</v>
      </c>
      <c r="D12" s="3" t="str">
        <f>"Vérifier qu'un compte nouvellement créé peut se connecter immédiatement."</f>
        <v>Vérifier qu'un compte nouvellement créé peut se connecter immédiatement.</v>
      </c>
      <c r="E12" s="3" t="str">
        <f>"Aucun compte existant avec l'adresse utilisée."</f>
        <v>Aucun compte existant avec l'adresse utilisée.</v>
      </c>
      <c r="F12" s="3" t="str">
        <f>"Créer un compte puis se connecter avec les mêmes identifiants."</f>
        <v>Créer un compte puis se connecter avec les mêmes identifiants.</v>
      </c>
      <c r="G12" s="3" t="str">
        <f>"Email valide et mot de passe conforme."</f>
        <v>Email valide et mot de passe conforme.</v>
      </c>
      <c r="H12" s="3" t="str">
        <f>"L'inscription réussit puis la connexion retourne la session attendue."</f>
        <v>L'inscription réussit puis la connexion retourne la session attendue.</v>
      </c>
      <c r="I12" s="3" t="str">
        <f>Légende!B$2</f>
        <v>OK</v>
      </c>
      <c r="J12" s="3" t="str">
        <f>Légende!C$2</f>
        <v>Critique</v>
      </c>
      <c r="K12" s="3" t="str">
        <f>Légende!D$2</f>
        <v>DA SILVA Jocelin</v>
      </c>
      <c r="L12" s="3" t="str">
        <f>""</f>
        <v/>
      </c>
    </row>
    <row r="13" spans="1:12" s="3" customFormat="1" x14ac:dyDescent="0.25">
      <c r="A13" s="3" t="str">
        <f>"PROF-01"</f>
        <v>PROF-01</v>
      </c>
      <c r="B13" s="3" t="str">
        <f t="shared" si="0"/>
        <v>Compte</v>
      </c>
      <c r="C13" s="3" t="str">
        <f>"Mise à jour du profil"</f>
        <v>Mise à jour du profil</v>
      </c>
      <c r="D13" s="3" t="str">
        <f>"Vérifier qu'un utilisateur connecté peut mettre à jour ses informations de profil."</f>
        <v>Vérifier qu'un utilisateur connecté peut mettre à jour ses informations de profil.</v>
      </c>
      <c r="E13" s="3" t="str">
        <f>"Utilisateur connecté avec profil éditable."</f>
        <v>Utilisateur connecté avec profil éditable.</v>
      </c>
      <c r="F13" s="3" t="str">
        <f>"Ouvrir le profil, modifier les champs autorisés, enregistrer."</f>
        <v>Ouvrir le profil, modifier les champs autorisés, enregistrer.</v>
      </c>
      <c r="G13" s="3" t="str">
        <f>"Nouveau prénom, nouveau nom ou email valide."</f>
        <v>Nouveau prénom, nouveau nom ou email valide.</v>
      </c>
      <c r="H13" s="3" t="str">
        <f>"Les modifications sont enregistrées et reflétées dans l'interface."</f>
        <v>Les modifications sont enregistrées et reflétées dans l'interface.</v>
      </c>
      <c r="I13" s="3" t="str">
        <f>Légende!B$2</f>
        <v>OK</v>
      </c>
      <c r="J13" s="3" t="str">
        <f>Légende!C$3</f>
        <v>Haute</v>
      </c>
      <c r="K13" s="3" t="str">
        <f>Légende!D$2</f>
        <v>DA SILVA Jocelin</v>
      </c>
      <c r="L13" s="3" t="str">
        <f>""</f>
        <v/>
      </c>
    </row>
    <row r="14" spans="1:12" s="4" customFormat="1" x14ac:dyDescent="0.25">
      <c r="A14" s="4" t="str">
        <f>"INF-01"</f>
        <v>INF-01</v>
      </c>
      <c r="B14" s="4" t="str">
        <f t="shared" ref="B14:B20" si="1">"Informations"</f>
        <v>Informations</v>
      </c>
      <c r="C14" s="4" t="str">
        <f>"Liste des articles publiés"</f>
        <v>Liste des articles publiés</v>
      </c>
      <c r="D14" s="4" t="str">
        <f>"Vérifier l'affichage des informations publiées uniquement."</f>
        <v>Vérifier l'affichage des informations publiées uniquement.</v>
      </c>
      <c r="E14" s="4" t="str">
        <f>"Backend opérationnel, contenus publiés en base."</f>
        <v>Backend opérationnel, contenus publiés en base.</v>
      </c>
      <c r="F14" s="4" t="str">
        <f>"Ouvrir la page Informations."</f>
        <v>Ouvrir la page Informations.</v>
      </c>
      <c r="G14" s="4" t="str">
        <f>"Articles publiés et non publiés en base."</f>
        <v>Articles publiés et non publiés en base.</v>
      </c>
      <c r="H14" s="4" t="str">
        <f>"Seuls les contenus publiés sont visibles dans la liste."</f>
        <v>Seuls les contenus publiés sont visibles dans la liste.</v>
      </c>
      <c r="I14" s="4" t="str">
        <f>Légende!B$2</f>
        <v>OK</v>
      </c>
      <c r="J14" s="4" t="str">
        <f>Légende!C$2</f>
        <v>Critique</v>
      </c>
      <c r="K14" s="4" t="str">
        <f>Légende!D$2</f>
        <v>DA SILVA Jocelin</v>
      </c>
      <c r="L14" s="4" t="str">
        <f>""</f>
        <v/>
      </c>
    </row>
    <row r="15" spans="1:12" s="4" customFormat="1" x14ac:dyDescent="0.25">
      <c r="A15" s="4" t="str">
        <f>"INF-02"</f>
        <v>INF-02</v>
      </c>
      <c r="B15" s="4" t="str">
        <f t="shared" si="1"/>
        <v>Informations</v>
      </c>
      <c r="C15" s="4" t="str">
        <f>"Filtrage par catégorie"</f>
        <v>Filtrage par catégorie</v>
      </c>
      <c r="D15" s="4" t="str">
        <f>"Vérifier que le filtrage des informations par catégorie fonctionne."</f>
        <v>Vérifier que le filtrage des informations par catégorie fonctionne.</v>
      </c>
      <c r="E15" s="4" t="str">
        <f>"Page Informations chargée avec plusieurs catégories."</f>
        <v>Page Informations chargée avec plusieurs catégories.</v>
      </c>
      <c r="F15" s="4" t="str">
        <f>"Sélectionner une catégorie puis observer la liste."</f>
        <v>Sélectionner une catégorie puis observer la liste.</v>
      </c>
      <c r="G15" s="4" t="str">
        <f>"Catégorie existante."</f>
        <v>Catégorie existante.</v>
      </c>
      <c r="H15" s="4" t="str">
        <f>"La liste est filtrée selon la catégorie sélectionnée."</f>
        <v>La liste est filtrée selon la catégorie sélectionnée.</v>
      </c>
      <c r="I15" s="4" t="str">
        <f>Légende!B$2</f>
        <v>OK</v>
      </c>
      <c r="J15" s="4" t="str">
        <f>Légende!C$4</f>
        <v>Moyenne</v>
      </c>
      <c r="K15" s="4" t="str">
        <f>Légende!D$2</f>
        <v>DA SILVA Jocelin</v>
      </c>
      <c r="L15" s="4" t="str">
        <f>""</f>
        <v/>
      </c>
    </row>
    <row r="16" spans="1:12" s="4" customFormat="1" x14ac:dyDescent="0.25">
      <c r="A16" s="4" t="str">
        <f>"INF-03"</f>
        <v>INF-03</v>
      </c>
      <c r="B16" s="4" t="str">
        <f t="shared" si="1"/>
        <v>Informations</v>
      </c>
      <c r="C16" s="4" t="str">
        <f>"Favori article connecté"</f>
        <v>Favori article connecté</v>
      </c>
      <c r="D16" s="4" t="str">
        <f>"Vérifier qu'un utilisateur connecté peut ajouter et retirer un article des favoris."</f>
        <v>Vérifier qu'un utilisateur connecté peut ajouter et retirer un article des favoris.</v>
      </c>
      <c r="E16" s="4" t="str">
        <f>"Utilisateur connecté et article visible."</f>
        <v>Utilisateur connecté et article visible.</v>
      </c>
      <c r="F16" s="4" t="str">
        <f>"Cliquer sur l'icône favori puis recliquer pour retirer."</f>
        <v>Cliquer sur l'icône favori puis recliquer pour retirer.</v>
      </c>
      <c r="G16" s="4" t="str">
        <f>"Compte utilisateur actif, article publié."</f>
        <v>Compte utilisateur actif, article publié.</v>
      </c>
      <c r="H16" s="4" t="str">
        <f>"Le favori est ajouté puis retiré correctement, avec synchronisation backend."</f>
        <v>Le favori est ajouté puis retiré correctement, avec synchronisation backend.</v>
      </c>
      <c r="I16" s="4" t="str">
        <f>Légende!B$2</f>
        <v>OK</v>
      </c>
      <c r="J16" s="4" t="str">
        <f>Légende!C$3</f>
        <v>Haute</v>
      </c>
      <c r="K16" s="4" t="str">
        <f>Légende!D$2</f>
        <v>DA SILVA Jocelin</v>
      </c>
      <c r="L16" s="4" t="str">
        <f>""</f>
        <v/>
      </c>
    </row>
    <row r="17" spans="1:12" s="4" customFormat="1" x14ac:dyDescent="0.25">
      <c r="A17" s="4" t="str">
        <f>"INF-04"</f>
        <v>INF-04</v>
      </c>
      <c r="B17" s="4" t="str">
        <f t="shared" si="1"/>
        <v>Informations</v>
      </c>
      <c r="C17" s="4" t="str">
        <f>"Favori article non connecté"</f>
        <v>Favori article non connecté</v>
      </c>
      <c r="D17" s="4" t="str">
        <f>"Vérifier qu'un utilisateur non connecté est redirigé vers la page compte avant l'ajout en favori."</f>
        <v>Vérifier qu'un utilisateur non connecté est redirigé vers la page compte avant l'ajout en favori.</v>
      </c>
      <c r="E17" s="4" t="str">
        <f>"Utilisateur non authentifié."</f>
        <v>Utilisateur non authentifié.</v>
      </c>
      <c r="F17" s="4" t="str">
        <f>"Cliquer sur l'icône favori d'un article."</f>
        <v>Cliquer sur l'icône favori d'un article.</v>
      </c>
      <c r="G17" s="4" t="str">
        <f>"Aucune session active."</f>
        <v>Aucune session active.</v>
      </c>
      <c r="H17" s="4" t="str">
        <f>"L'application redirige vers la page Compte et n'effectue pas l'action."</f>
        <v>L'application redirige vers la page Compte et n'effectue pas l'action.</v>
      </c>
      <c r="I17" s="4" t="str">
        <f>Légende!B$2</f>
        <v>OK</v>
      </c>
      <c r="J17" s="4" t="str">
        <f>Légende!C$3</f>
        <v>Haute</v>
      </c>
      <c r="K17" s="4" t="str">
        <f>Légende!D$2</f>
        <v>DA SILVA Jocelin</v>
      </c>
      <c r="L17" s="4" t="str">
        <f>""</f>
        <v/>
      </c>
    </row>
    <row r="18" spans="1:12" s="4" customFormat="1" x14ac:dyDescent="0.25">
      <c r="A18" s="4" t="str">
        <f>"INF-05"</f>
        <v>INF-05</v>
      </c>
      <c r="B18" s="4" t="str">
        <f t="shared" si="1"/>
        <v>Informations</v>
      </c>
      <c r="C18" s="4" t="str">
        <f>"Chargement initial des articles et catégories"</f>
        <v>Chargement initial des articles et catégories</v>
      </c>
      <c r="D18" s="4" t="str">
        <f>"Vérifier que la page charge les articles publiés et les catégories au démarrage."</f>
        <v>Vérifier que la page charge les articles publiés et les catégories au démarrage.</v>
      </c>
      <c r="E18" s="4" t="str">
        <f>"Page Informations accessible."</f>
        <v>Page Informations accessible.</v>
      </c>
      <c r="F18" s="4" t="str">
        <f>"Ouvrir la page et attendre le chargement initial."</f>
        <v>Ouvrir la page et attendre le chargement initial.</v>
      </c>
      <c r="G18" s="4" t="str">
        <f>"Articles publiés et catégories en base."</f>
        <v>Articles publiés et catégories en base.</v>
      </c>
      <c r="H18" s="4" t="str">
        <f>"La liste et les filtres apparaissent sans erreur de chargement."</f>
        <v>La liste et les filtres apparaissent sans erreur de chargement.</v>
      </c>
      <c r="I18" s="4" t="str">
        <f>Légende!B$2</f>
        <v>OK</v>
      </c>
      <c r="J18" s="4" t="str">
        <f>Légende!C$4</f>
        <v>Moyenne</v>
      </c>
      <c r="K18" s="4" t="str">
        <f>Légende!D$2</f>
        <v>DA SILVA Jocelin</v>
      </c>
      <c r="L18" s="4" t="str">
        <f>""</f>
        <v/>
      </c>
    </row>
    <row r="19" spans="1:12" s="4" customFormat="1" x14ac:dyDescent="0.25">
      <c r="A19" s="4" t="str">
        <f>"INF-06"</f>
        <v>INF-06</v>
      </c>
      <c r="B19" s="4" t="str">
        <f t="shared" si="1"/>
        <v>Informations</v>
      </c>
      <c r="C19" s="4" t="str">
        <f>"Sélection d'une catégorie"</f>
        <v>Sélection d'une catégorie</v>
      </c>
      <c r="D19" s="4" t="str">
        <f>"Vérifier que le changement de catégorie filtre instantanément les articles affichés."</f>
        <v>Vérifier que le changement de catégorie filtre instantanément les articles affichés.</v>
      </c>
      <c r="E19" s="4" t="str">
        <f>"Page Informations chargée."</f>
        <v>Page Informations chargée.</v>
      </c>
      <c r="F19" s="4" t="str">
        <f>"Cliquer sur une catégorie différente."</f>
        <v>Cliquer sur une catégorie différente.</v>
      </c>
      <c r="G19" s="4" t="str">
        <f>"Au moins deux catégories présentes."</f>
        <v>Au moins deux catégories présentes.</v>
      </c>
      <c r="H19" s="4" t="str">
        <f>"La sélection modifie la liste visible sans rechargement complet."</f>
        <v>La sélection modifie la liste visible sans rechargement complet.</v>
      </c>
      <c r="I19" s="4" t="str">
        <f>Légende!B$2</f>
        <v>OK</v>
      </c>
      <c r="J19" s="4" t="str">
        <f>Légende!C$4</f>
        <v>Moyenne</v>
      </c>
      <c r="K19" s="4" t="str">
        <f>Légende!D$2</f>
        <v>DA SILVA Jocelin</v>
      </c>
      <c r="L19" s="4" t="str">
        <f>""</f>
        <v/>
      </c>
    </row>
    <row r="20" spans="1:12" s="4" customFormat="1" x14ac:dyDescent="0.25">
      <c r="A20" s="4" t="str">
        <f>"INF-07"</f>
        <v>INF-07</v>
      </c>
      <c r="B20" s="4" t="str">
        <f t="shared" si="1"/>
        <v>Informations</v>
      </c>
      <c r="C20" s="4" t="str">
        <f>"Gestion complète d'un article"</f>
        <v>Gestion complète d'un article</v>
      </c>
      <c r="D20" s="4" t="str">
        <f>"Vérifier qu'un administrateur peut créer, modifier, publier puis supprimer un article."</f>
        <v>Vérifier qu'un administrateur peut créer, modifier, publier puis supprimer un article.</v>
      </c>
      <c r="E20" s="4" t="str">
        <f>"Utilisateur authentifié avec rôle Admin."</f>
        <v>Utilisateur authentifié avec rôle Admin.</v>
      </c>
      <c r="F20" s="4" t="str">
        <f>"Ouvrir l'administration informations et enchaîner les actions sur un article de test."</f>
        <v>Ouvrir l'administration informations et enchaîner les actions sur un article de test.</v>
      </c>
      <c r="G20" s="4" t="str">
        <f>"Article de test valide."</f>
        <v>Article de test valide.</v>
      </c>
      <c r="H20" s="4" t="str">
        <f>"Les actions s'appliquent correctement et l'état final correspond à la dernière action."</f>
        <v>Les actions s'appliquent correctement et l'état final correspond à la dernière action.</v>
      </c>
      <c r="I20" s="4" t="str">
        <f>Légende!B$2</f>
        <v>OK</v>
      </c>
      <c r="J20" s="4" t="str">
        <f>Légende!C$2</f>
        <v>Critique</v>
      </c>
      <c r="K20" s="4" t="str">
        <f>Légende!D$2</f>
        <v>DA SILVA Jocelin</v>
      </c>
      <c r="L20" s="4" t="str">
        <f>""</f>
        <v/>
      </c>
    </row>
    <row r="21" spans="1:12" s="7" customFormat="1" x14ac:dyDescent="0.25">
      <c r="A21" s="7" t="str">
        <f>"ACT-01"</f>
        <v>ACT-01</v>
      </c>
      <c r="B21" s="7" t="str">
        <f t="shared" ref="B21:B28" si="2">"Activités"</f>
        <v>Activités</v>
      </c>
      <c r="C21" s="7" t="str">
        <f>"Liste des activités actives"</f>
        <v>Liste des activités actives</v>
      </c>
      <c r="D21" s="7" t="str">
        <f>"Vérifier l'affichage des activités actives uniquement."</f>
        <v>Vérifier l'affichage des activités actives uniquement.</v>
      </c>
      <c r="E21" s="7" t="str">
        <f>"Backend opérationnel, activités actives en base."</f>
        <v>Backend opérationnel, activités actives en base.</v>
      </c>
      <c r="F21" s="7" t="str">
        <f>"Ouvrir la page Activités."</f>
        <v>Ouvrir la page Activités.</v>
      </c>
      <c r="G21" s="7" t="str">
        <f>"Activités actives et inactives en base."</f>
        <v>Activités actives et inactives en base.</v>
      </c>
      <c r="H21" s="7" t="str">
        <f>"Seules les activités actives sont affichées."</f>
        <v>Seules les activités actives sont affichées.</v>
      </c>
      <c r="I21" s="7" t="str">
        <f>Légende!B$2</f>
        <v>OK</v>
      </c>
      <c r="J21" s="7" t="str">
        <f>Légende!C$2</f>
        <v>Critique</v>
      </c>
      <c r="K21" s="7" t="str">
        <f>Légende!D$2</f>
        <v>DA SILVA Jocelin</v>
      </c>
      <c r="L21" s="7" t="str">
        <f>""</f>
        <v/>
      </c>
    </row>
    <row r="22" spans="1:12" s="7" customFormat="1" x14ac:dyDescent="0.25">
      <c r="A22" s="7" t="str">
        <f>"ACT-02"</f>
        <v>ACT-02</v>
      </c>
      <c r="B22" s="7" t="str">
        <f t="shared" si="2"/>
        <v>Activités</v>
      </c>
      <c r="C22" s="7" t="str">
        <f>"Tri des activités"</f>
        <v>Tri des activités</v>
      </c>
      <c r="D22" s="7" t="str">
        <f>"Vérifier que le tri par durée ou par nom modifie correctement l'affichage."</f>
        <v>Vérifier que le tri par durée ou par nom modifie correctement l'affichage.</v>
      </c>
      <c r="E22" s="7" t="str">
        <f>"Page Activités chargée avec plusieurs cartes."</f>
        <v>Page Activités chargée avec plusieurs cartes.</v>
      </c>
      <c r="F22" s="7" t="str">
        <f>"Changer l'option de tri et observer l'ordre."</f>
        <v>Changer l'option de tri et observer l'ordre.</v>
      </c>
      <c r="G22" s="7" t="str">
        <f>"Activités avec durées différentes."</f>
        <v>Activités avec durées différentes.</v>
      </c>
      <c r="H22" s="7" t="str">
        <f>"L'ordre affiché correspond au critère de tri sélectionné."</f>
        <v>L'ordre affiché correspond au critère de tri sélectionné.</v>
      </c>
      <c r="I22" s="7" t="str">
        <f>Légende!B$2</f>
        <v>OK</v>
      </c>
      <c r="J22" s="7" t="str">
        <f>Légende!C$4</f>
        <v>Moyenne</v>
      </c>
      <c r="K22" s="7" t="str">
        <f>Légende!D$2</f>
        <v>DA SILVA Jocelin</v>
      </c>
      <c r="L22" s="7" t="str">
        <f>""</f>
        <v/>
      </c>
    </row>
    <row r="23" spans="1:12" s="7" customFormat="1" x14ac:dyDescent="0.25">
      <c r="A23" s="7" t="str">
        <f>"ACT-03"</f>
        <v>ACT-03</v>
      </c>
      <c r="B23" s="7" t="str">
        <f t="shared" si="2"/>
        <v>Activités</v>
      </c>
      <c r="C23" s="7" t="str">
        <f>"Filtrage par catégorie"</f>
        <v>Filtrage par catégorie</v>
      </c>
      <c r="D23" s="7" t="str">
        <f>"Vérifier le filtrage des activités par catégorie."</f>
        <v>Vérifier le filtrage des activités par catégorie.</v>
      </c>
      <c r="E23" s="7" t="str">
        <f>"Page Activités chargée avec plusieurs catégories."</f>
        <v>Page Activités chargée avec plusieurs catégories.</v>
      </c>
      <c r="F23" s="7" t="str">
        <f>"Sélectionner une catégorie dans les filtres."</f>
        <v>Sélectionner une catégorie dans les filtres.</v>
      </c>
      <c r="G23" s="7" t="str">
        <f>"Catégorie existante."</f>
        <v>Catégorie existante.</v>
      </c>
      <c r="H23" s="7" t="str">
        <f>"La liste affichée correspond aux activités de la catégorie choisie."</f>
        <v>La liste affichée correspond aux activités de la catégorie choisie.</v>
      </c>
      <c r="I23" s="7" t="str">
        <f>Légende!B$2</f>
        <v>OK</v>
      </c>
      <c r="J23" s="7" t="str">
        <f>Légende!C$4</f>
        <v>Moyenne</v>
      </c>
      <c r="K23" s="7" t="str">
        <f>Légende!D$2</f>
        <v>DA SILVA Jocelin</v>
      </c>
      <c r="L23" s="7" t="str">
        <f>""</f>
        <v/>
      </c>
    </row>
    <row r="24" spans="1:12" s="7" customFormat="1" x14ac:dyDescent="0.25">
      <c r="A24" s="7" t="str">
        <f>"ACT-04"</f>
        <v>ACT-04</v>
      </c>
      <c r="B24" s="7" t="str">
        <f t="shared" si="2"/>
        <v>Activités</v>
      </c>
      <c r="C24" s="7" t="str">
        <f>"Favori activité connecté"</f>
        <v>Favori activité connecté</v>
      </c>
      <c r="D24" s="7" t="str">
        <f>"Vérifier qu'un utilisateur connecté peut ajouter et retirer une activité des favoris."</f>
        <v>Vérifier qu'un utilisateur connecté peut ajouter et retirer une activité des favoris.</v>
      </c>
      <c r="E24" s="7" t="str">
        <f>"Utilisateur connecté et activité visible."</f>
        <v>Utilisateur connecté et activité visible.</v>
      </c>
      <c r="F24" s="7" t="str">
        <f>"Cliquer sur le favori puis recommencer pour annuler."</f>
        <v>Cliquer sur le favori puis recommencer pour annuler.</v>
      </c>
      <c r="G24" s="7" t="str">
        <f>"Compte utilisateur actif, activité active."</f>
        <v>Compte utilisateur actif, activité active.</v>
      </c>
      <c r="H24" s="7" t="str">
        <f>"L'activité est marquée puis retirée des favoris sans incohérence visuelle."</f>
        <v>L'activité est marquée puis retirée des favoris sans incohérence visuelle.</v>
      </c>
      <c r="I24" s="7" t="str">
        <f>Légende!B$2</f>
        <v>OK</v>
      </c>
      <c r="J24" s="7" t="str">
        <f>Légende!C$3</f>
        <v>Haute</v>
      </c>
      <c r="K24" s="7" t="str">
        <f>Légende!D$2</f>
        <v>DA SILVA Jocelin</v>
      </c>
      <c r="L24" s="7" t="str">
        <f>""</f>
        <v/>
      </c>
    </row>
    <row r="25" spans="1:12" s="7" customFormat="1" x14ac:dyDescent="0.25">
      <c r="A25" s="7" t="str">
        <f>"ACT-05"</f>
        <v>ACT-05</v>
      </c>
      <c r="B25" s="7" t="str">
        <f t="shared" si="2"/>
        <v>Activités</v>
      </c>
      <c r="C25" s="7" t="str">
        <f>"Favori activité non connecté"</f>
        <v>Favori activité non connecté</v>
      </c>
      <c r="D25" s="7" t="str">
        <f>"Vérifier qu'un utilisateur non connecté est redirigé vers la page Compte avant l'ajout en favori."</f>
        <v>Vérifier qu'un utilisateur non connecté est redirigé vers la page Compte avant l'ajout en favori.</v>
      </c>
      <c r="E25" s="7" t="str">
        <f>"Utilisateur non authentifié."</f>
        <v>Utilisateur non authentifié.</v>
      </c>
      <c r="F25" s="7" t="str">
        <f>"Cliquer sur l'icône favori d'une activité."</f>
        <v>Cliquer sur l'icône favori d'une activité.</v>
      </c>
      <c r="G25" s="7" t="str">
        <f>"Aucune session active."</f>
        <v>Aucune session active.</v>
      </c>
      <c r="H25" s="7" t="str">
        <f>"L'application redirige vers la page Compte et empêche l'action."</f>
        <v>L'application redirige vers la page Compte et empêche l'action.</v>
      </c>
      <c r="I25" s="7" t="str">
        <f>Légende!B$2</f>
        <v>OK</v>
      </c>
      <c r="J25" s="7" t="str">
        <f>Légende!C$3</f>
        <v>Haute</v>
      </c>
      <c r="K25" s="7" t="str">
        <f>Légende!D$2</f>
        <v>DA SILVA Jocelin</v>
      </c>
      <c r="L25" s="7" t="str">
        <f>""</f>
        <v/>
      </c>
    </row>
    <row r="26" spans="1:12" s="7" customFormat="1" x14ac:dyDescent="0.25">
      <c r="A26" s="7" t="str">
        <f>"ACT-06"</f>
        <v>ACT-06</v>
      </c>
      <c r="B26" s="7" t="str">
        <f t="shared" si="2"/>
        <v>Activités</v>
      </c>
      <c r="C26" s="7" t="str">
        <f>"Chargement initial et filtrage"</f>
        <v>Chargement initial et filtrage</v>
      </c>
      <c r="D26" s="7" t="str">
        <f>"Vérifier que la page charge les activités actives et applique les filtres de catégorie au démarrage."</f>
        <v>Vérifier que la page charge les activités actives et applique les filtres de catégorie au démarrage.</v>
      </c>
      <c r="E26" s="7" t="str">
        <f>"Backend opérationnel."</f>
        <v>Backend opérationnel.</v>
      </c>
      <c r="F26" s="7" t="str">
        <f>"Ouvrir la page Activités et sélectionner un filtre."</f>
        <v>Ouvrir la page Activités et sélectionner un filtre.</v>
      </c>
      <c r="G26" s="7" t="str">
        <f>"Activités actives et catégories en base."</f>
        <v>Activités actives et catégories en base.</v>
      </c>
      <c r="H26" s="7" t="str">
        <f>"La liste affichée est cohérente et filtrée selon la catégorie choisie."</f>
        <v>La liste affichée est cohérente et filtrée selon la catégorie choisie.</v>
      </c>
      <c r="I26" s="7" t="str">
        <f>Légende!B$2</f>
        <v>OK</v>
      </c>
      <c r="J26" s="7" t="str">
        <f>Légende!C$4</f>
        <v>Moyenne</v>
      </c>
      <c r="K26" s="7" t="str">
        <f>Légende!D$2</f>
        <v>DA SILVA Jocelin</v>
      </c>
      <c r="L26" s="7" t="str">
        <f>""</f>
        <v/>
      </c>
    </row>
    <row r="27" spans="1:12" s="7" customFormat="1" x14ac:dyDescent="0.25">
      <c r="A27" s="7" t="str">
        <f>"ACT-07"</f>
        <v>ACT-07</v>
      </c>
      <c r="B27" s="7" t="str">
        <f t="shared" si="2"/>
        <v>Activités</v>
      </c>
      <c r="C27" s="7" t="str">
        <f>"Sélection de catégorie sans effet secondaire"</f>
        <v>Sélection de catégorie sans effet secondaire</v>
      </c>
      <c r="D27" s="7" t="str">
        <f>"Vérifier que le changement de catégorie met à jour l'état local sans casser la liste."</f>
        <v>Vérifier que le changement de catégorie met à jour l'état local sans casser la liste.</v>
      </c>
      <c r="E27" s="7" t="str">
        <f>"Page Activités chargée."</f>
        <v>Page Activités chargée.</v>
      </c>
      <c r="F27" s="7" t="str">
        <f>"Sélectionner puis modifier un filtre de catégorie."</f>
        <v>Sélectionner puis modifier un filtre de catégorie.</v>
      </c>
      <c r="G27" s="7" t="str">
        <f>"Plusieurs catégories disponibles."</f>
        <v>Plusieurs catégories disponibles.</v>
      </c>
      <c r="H27" s="7" t="str">
        <f>"L'état interne et l'affichage restent synchronisés."</f>
        <v>L'état interne et l'affichage restent synchronisés.</v>
      </c>
      <c r="I27" s="7" t="str">
        <f>Légende!B$2</f>
        <v>OK</v>
      </c>
      <c r="J27" s="7" t="str">
        <f>Légende!C$5</f>
        <v>Faible</v>
      </c>
      <c r="K27" s="7" t="str">
        <f>Légende!D$2</f>
        <v>DA SILVA Jocelin</v>
      </c>
      <c r="L27" s="7" t="str">
        <f>""</f>
        <v/>
      </c>
    </row>
    <row r="28" spans="1:12" s="7" customFormat="1" x14ac:dyDescent="0.25">
      <c r="A28" s="7" t="str">
        <f>"ACT-08"</f>
        <v>ACT-08</v>
      </c>
      <c r="B28" s="7" t="str">
        <f t="shared" si="2"/>
        <v>Activités</v>
      </c>
      <c r="C28" s="7" t="str">
        <f>"Gestion complète d'une activité"</f>
        <v>Gestion complète d'une activité</v>
      </c>
      <c r="D28" s="7" t="str">
        <f>"Vérifier qu'un administrateur peut créer, modifier, désactiver puis supprimer une activité."</f>
        <v>Vérifier qu'un administrateur peut créer, modifier, désactiver puis supprimer une activité.</v>
      </c>
      <c r="E28" s="7" t="str">
        <f t="shared" ref="E28:E38" si="3">"Utilisateur authentifié avec rôle Admin."</f>
        <v>Utilisateur authentifié avec rôle Admin.</v>
      </c>
      <c r="F28" s="7" t="str">
        <f>"Ouvrir l'administration activités et enchaîner les actions sur une activité de test."</f>
        <v>Ouvrir l'administration activités et enchaîner les actions sur une activité de test.</v>
      </c>
      <c r="G28" s="7" t="str">
        <f>"Activité de test valide."</f>
        <v>Activité de test valide.</v>
      </c>
      <c r="H28" s="7" t="str">
        <f>"Les actions s'appliquent correctement et l'état final correspond à la dernière action."</f>
        <v>Les actions s'appliquent correctement et l'état final correspond à la dernière action.</v>
      </c>
      <c r="I28" s="7" t="str">
        <f>Légende!B$2</f>
        <v>OK</v>
      </c>
      <c r="J28" s="7" t="str">
        <f>Légende!C$2</f>
        <v>Critique</v>
      </c>
      <c r="K28" s="7" t="str">
        <f>Légende!D$2</f>
        <v>DA SILVA Jocelin</v>
      </c>
      <c r="L28" s="7" t="str">
        <f>""</f>
        <v/>
      </c>
    </row>
    <row r="29" spans="1:12" s="5" customFormat="1" x14ac:dyDescent="0.25">
      <c r="A29" s="5" t="str">
        <f>"ADM-01"</f>
        <v>ADM-01</v>
      </c>
      <c r="B29" s="5" t="str">
        <f t="shared" ref="B29:B38" si="4">"Administration"</f>
        <v>Administration</v>
      </c>
      <c r="C29" s="5" t="str">
        <f>"Création d'activité"</f>
        <v>Création d'activité</v>
      </c>
      <c r="D29" s="5" t="str">
        <f>"Vérifier qu'un administrateur peut créer une activité via le formulaire admin."</f>
        <v>Vérifier qu'un administrateur peut créer une activité via le formulaire admin.</v>
      </c>
      <c r="E29" s="5" t="str">
        <f t="shared" si="3"/>
        <v>Utilisateur authentifié avec rôle Admin.</v>
      </c>
      <c r="F29" s="5" t="str">
        <f>"Ouvrir le panneau admin, remplir le formulaire d'activité, valider."</f>
        <v>Ouvrir le panneau admin, remplir le formulaire d'activité, valider.</v>
      </c>
      <c r="G29" s="5" t="str">
        <f>"Titre, description, contenu, instructions, catégorie valides."</f>
        <v>Titre, description, contenu, instructions, catégorie valides.</v>
      </c>
      <c r="H29" s="5" t="str">
        <f>"L'activité est créée, enregistrée et visible après rafraîchissement."</f>
        <v>L'activité est créée, enregistrée et visible après rafraîchissement.</v>
      </c>
      <c r="I29" s="5" t="str">
        <f>Légende!B$2</f>
        <v>OK</v>
      </c>
      <c r="J29" s="5" t="str">
        <f>Légende!C$2</f>
        <v>Critique</v>
      </c>
      <c r="K29" s="5" t="str">
        <f>Légende!D$2</f>
        <v>DA SILVA Jocelin</v>
      </c>
      <c r="L29" s="5" t="str">
        <f>""</f>
        <v/>
      </c>
    </row>
    <row r="30" spans="1:12" s="5" customFormat="1" x14ac:dyDescent="0.25">
      <c r="A30" s="5" t="str">
        <f>"ADM-02"</f>
        <v>ADM-02</v>
      </c>
      <c r="B30" s="5" t="str">
        <f t="shared" si="4"/>
        <v>Administration</v>
      </c>
      <c r="C30" s="5" t="str">
        <f>"Création d'information"</f>
        <v>Création d'information</v>
      </c>
      <c r="D30" s="5" t="str">
        <f>"Vérifier qu'un administrateur peut créer une information via le formulaire admin."</f>
        <v>Vérifier qu'un administrateur peut créer une information via le formulaire admin.</v>
      </c>
      <c r="E30" s="5" t="str">
        <f t="shared" si="3"/>
        <v>Utilisateur authentifié avec rôle Admin.</v>
      </c>
      <c r="F30" s="5" t="str">
        <f>"Ouvrir le panneau admin, remplir le formulaire d'information, valider."</f>
        <v>Ouvrir le panneau admin, remplir le formulaire d'information, valider.</v>
      </c>
      <c r="G30" s="5" t="str">
        <f>"Titre, contenu, catégorie, niveau de difficulté valides."</f>
        <v>Titre, contenu, catégorie, niveau de difficulté valides.</v>
      </c>
      <c r="H30" s="5" t="str">
        <f>"L'information est créée avec succès et l'interface confirme l'opération."</f>
        <v>L'information est créée avec succès et l'interface confirme l'opération.</v>
      </c>
      <c r="I30" s="5" t="str">
        <f>Légende!B$2</f>
        <v>OK</v>
      </c>
      <c r="J30" s="5" t="str">
        <f>Légende!C$2</f>
        <v>Critique</v>
      </c>
      <c r="K30" s="5" t="str">
        <f>Légende!D$2</f>
        <v>DA SILVA Jocelin</v>
      </c>
      <c r="L30" s="5" t="str">
        <f>""</f>
        <v/>
      </c>
    </row>
    <row r="31" spans="1:12" s="5" customFormat="1" x14ac:dyDescent="0.25">
      <c r="A31" s="5" t="str">
        <f>"ADM-03"</f>
        <v>ADM-03</v>
      </c>
      <c r="B31" s="5" t="str">
        <f t="shared" si="4"/>
        <v>Administration</v>
      </c>
      <c r="C31" s="5" t="str">
        <f>"Activation / désactivation"</f>
        <v>Activation / désactivation</v>
      </c>
      <c r="D31" s="5" t="str">
        <f>"Vérifier qu'un administrateur peut activer ou désactiver un contenu."</f>
        <v>Vérifier qu'un administrateur peut activer ou désactiver un contenu.</v>
      </c>
      <c r="E31" s="5" t="str">
        <f t="shared" si="3"/>
        <v>Utilisateur authentifié avec rôle Admin.</v>
      </c>
      <c r="F31" s="5" t="str">
        <f>"Ouvrir un élément, changer son état, sauvegarder."</f>
        <v>Ouvrir un élément, changer son état, sauvegarder.</v>
      </c>
      <c r="G31" s="5" t="str">
        <f>"Activité ou information existante."</f>
        <v>Activité ou information existante.</v>
      </c>
      <c r="H31" s="5" t="str">
        <f>"L'état du contenu est mis à jour et reflété dans la liste."</f>
        <v>L'état du contenu est mis à jour et reflété dans la liste.</v>
      </c>
      <c r="I31" s="5" t="str">
        <f>Légende!B$2</f>
        <v>OK</v>
      </c>
      <c r="J31" s="5" t="str">
        <f>Légende!C$3</f>
        <v>Haute</v>
      </c>
      <c r="K31" s="5" t="str">
        <f>Légende!D$2</f>
        <v>DA SILVA Jocelin</v>
      </c>
      <c r="L31" s="5" t="str">
        <f>""</f>
        <v/>
      </c>
    </row>
    <row r="32" spans="1:12" s="5" customFormat="1" x14ac:dyDescent="0.25">
      <c r="A32" s="5" t="str">
        <f>"ADM-04"</f>
        <v>ADM-04</v>
      </c>
      <c r="B32" s="5" t="str">
        <f t="shared" si="4"/>
        <v>Administration</v>
      </c>
      <c r="C32" s="5" t="str">
        <f>"Gestion des utilisateurs"</f>
        <v>Gestion des utilisateurs</v>
      </c>
      <c r="D32" s="5" t="str">
        <f>"Vérifier qu'un administrateur peut promouvoir, rétrograder ou désactiver un compte utilisateur."</f>
        <v>Vérifier qu'un administrateur peut promouvoir, rétrograder ou désactiver un compte utilisateur.</v>
      </c>
      <c r="E32" s="5" t="str">
        <f t="shared" si="3"/>
        <v>Utilisateur authentifié avec rôle Admin.</v>
      </c>
      <c r="F32" s="5" t="str">
        <f>"Ouvrir la section utilisateurs, choisir un compte et appliquer une action de gestion."</f>
        <v>Ouvrir la section utilisateurs, choisir un compte et appliquer une action de gestion.</v>
      </c>
      <c r="G32" s="5" t="str">
        <f>"Compte utilisateur existant."</f>
        <v>Compte utilisateur existant.</v>
      </c>
      <c r="H32" s="5" t="str">
        <f>"L'action choisie est appliquée et la liste des comptes reflète le nouvel état."</f>
        <v>L'action choisie est appliquée et la liste des comptes reflète le nouvel état.</v>
      </c>
      <c r="I32" s="5" t="str">
        <f>Légende!B$2</f>
        <v>OK</v>
      </c>
      <c r="J32" s="5" t="str">
        <f>Légende!C$3</f>
        <v>Haute</v>
      </c>
      <c r="K32" s="5" t="str">
        <f>Légende!D$2</f>
        <v>DA SILVA Jocelin</v>
      </c>
      <c r="L32" s="5" t="str">
        <f>""</f>
        <v/>
      </c>
    </row>
    <row r="33" spans="1:12" s="5" customFormat="1" x14ac:dyDescent="0.25">
      <c r="A33" s="5" t="str">
        <f>"ADM-05"</f>
        <v>ADM-05</v>
      </c>
      <c r="B33" s="5" t="str">
        <f t="shared" si="4"/>
        <v>Administration</v>
      </c>
      <c r="C33" s="5" t="str">
        <f>"Chargement initial du tableau de bord"</f>
        <v>Chargement initial du tableau de bord</v>
      </c>
      <c r="D33" s="5" t="str">
        <f>"Vérifier que l'administration charge les jeux de données et respecte l'onglet demandé."</f>
        <v>Vérifier que l'administration charge les jeux de données et respecte l'onglet demandé.</v>
      </c>
      <c r="E33" s="5" t="str">
        <f t="shared" si="3"/>
        <v>Utilisateur authentifié avec rôle Admin.</v>
      </c>
      <c r="F33" s="5" t="str">
        <f>"Ouvrir l'administration avec un onglet dans l'URL."</f>
        <v>Ouvrir l'administration avec un onglet dans l'URL.</v>
      </c>
      <c r="G33" s="5" t="str">
        <f>"Données d'activités, informations, catégories, difficultés et utilisateurs."</f>
        <v>Données d'activités, informations, catégories, difficultés et utilisateurs.</v>
      </c>
      <c r="H33" s="5" t="str">
        <f>"Le bon onglet s'ouvre et les données s'affichent au chargement."</f>
        <v>Le bon onglet s'ouvre et les données s'affichent au chargement.</v>
      </c>
      <c r="I33" s="5" t="str">
        <f>Légende!B$2</f>
        <v>OK</v>
      </c>
      <c r="J33" s="5" t="str">
        <f>Légende!C$4</f>
        <v>Moyenne</v>
      </c>
      <c r="K33" s="5" t="str">
        <f>Légende!D$2</f>
        <v>DA SILVA Jocelin</v>
      </c>
      <c r="L33" s="5" t="str">
        <f>""</f>
        <v/>
      </c>
    </row>
    <row r="34" spans="1:12" s="5" customFormat="1" x14ac:dyDescent="0.25">
      <c r="A34" s="5" t="str">
        <f>"ADM-06"</f>
        <v>ADM-06</v>
      </c>
      <c r="B34" s="5" t="str">
        <f t="shared" si="4"/>
        <v>Administration</v>
      </c>
      <c r="C34" s="5" t="str">
        <f>"Tri du tableau activités"</f>
        <v>Tri du tableau activités</v>
      </c>
      <c r="D34" s="5" t="str">
        <f>"Vérifier que le tri des activités dans l'administration change bien l'ordre affiché."</f>
        <v>Vérifier que le tri des activités dans l'administration change bien l'ordre affiché.</v>
      </c>
      <c r="E34" s="5" t="str">
        <f t="shared" si="3"/>
        <v>Utilisateur authentifié avec rôle Admin.</v>
      </c>
      <c r="F34" s="5" t="str">
        <f>"Cliquer deux fois sur l'en-tête de tri du tableau activités."</f>
        <v>Cliquer deux fois sur l'en-tête de tri du tableau activités.</v>
      </c>
      <c r="G34" s="5" t="str">
        <f>"Plusieurs activités avec titres différents."</f>
        <v>Plusieurs activités avec titres différents.</v>
      </c>
      <c r="H34" s="5" t="str">
        <f>"Le tri alterne entre croissant et décroissant sans perte de données."</f>
        <v>Le tri alterne entre croissant et décroissant sans perte de données.</v>
      </c>
      <c r="I34" s="5" t="str">
        <f>Légende!B$2</f>
        <v>OK</v>
      </c>
      <c r="J34" s="5" t="str">
        <f>Légende!C$5</f>
        <v>Faible</v>
      </c>
      <c r="K34" s="5" t="str">
        <f>Légende!D$2</f>
        <v>DA SILVA Jocelin</v>
      </c>
      <c r="L34" s="5" t="str">
        <f>""</f>
        <v/>
      </c>
    </row>
    <row r="35" spans="1:12" s="5" customFormat="1" x14ac:dyDescent="0.25">
      <c r="A35" s="5" t="str">
        <f>"ADM-07"</f>
        <v>ADM-07</v>
      </c>
      <c r="B35" s="5" t="str">
        <f t="shared" si="4"/>
        <v>Administration</v>
      </c>
      <c r="C35" s="5" t="str">
        <f>"Répartition des catégories"</f>
        <v>Répartition des catégories</v>
      </c>
      <c r="D35" s="5" t="str">
        <f>"Vérifier que les catégories sont réparties entre activités et informations."</f>
        <v>Vérifier que les catégories sont réparties entre activités et informations.</v>
      </c>
      <c r="E35" s="5" t="str">
        <f t="shared" si="3"/>
        <v>Utilisateur authentifié avec rôle Admin.</v>
      </c>
      <c r="F35" s="5" t="str">
        <f>"Ouvrir le bloc des catégories dans l'administration."</f>
        <v>Ouvrir le bloc des catégories dans l'administration.</v>
      </c>
      <c r="G35" s="5" t="str">
        <f>"Catégories de type activité et information."</f>
        <v>Catégories de type activité et information.</v>
      </c>
      <c r="H35" s="5" t="str">
        <f>"Les catégories sont classées dans les bons groupes métier."</f>
        <v>Les catégories sont classées dans les bons groupes métier.</v>
      </c>
      <c r="I35" s="5" t="str">
        <f>Légende!B$2</f>
        <v>OK</v>
      </c>
      <c r="J35" s="5" t="str">
        <f>Légende!C$4</f>
        <v>Moyenne</v>
      </c>
      <c r="K35" s="5" t="str">
        <f>Légende!D$2</f>
        <v>DA SILVA Jocelin</v>
      </c>
      <c r="L35" s="5" t="str">
        <f>""</f>
        <v/>
      </c>
    </row>
    <row r="36" spans="1:12" s="5" customFormat="1" x14ac:dyDescent="0.25">
      <c r="A36" s="5" t="str">
        <f>"CAT-01"</f>
        <v>CAT-01</v>
      </c>
      <c r="B36" s="5" t="str">
        <f t="shared" si="4"/>
        <v>Administration</v>
      </c>
      <c r="C36" s="5" t="str">
        <f>"Gestion des catégories"</f>
        <v>Gestion des catégories</v>
      </c>
      <c r="D36" s="5" t="str">
        <f>"Vérifier qu'un administrateur peut consulter, créer et supprimer une catégorie."</f>
        <v>Vérifier qu'un administrateur peut consulter, créer et supprimer une catégorie.</v>
      </c>
      <c r="E36" s="5" t="str">
        <f t="shared" si="3"/>
        <v>Utilisateur authentifié avec rôle Admin.</v>
      </c>
      <c r="F36" s="5" t="str">
        <f>"Ouvrir la section catégories, créer une catégorie puis la supprimer."</f>
        <v>Ouvrir la section catégories, créer une catégorie puis la supprimer.</v>
      </c>
      <c r="G36" s="5" t="str">
        <f>"Nom de catégorie valide."</f>
        <v>Nom de catégorie valide.</v>
      </c>
      <c r="H36" s="5" t="str">
        <f>"La catégorie est ajoutée puis supprimée sans incohérence dans les listes liées."</f>
        <v>La catégorie est ajoutée puis supprimée sans incohérence dans les listes liées.</v>
      </c>
      <c r="I36" s="5" t="str">
        <f>Légende!B$2</f>
        <v>OK</v>
      </c>
      <c r="J36" s="5" t="str">
        <f>Légende!C$4</f>
        <v>Moyenne</v>
      </c>
      <c r="K36" s="5" t="str">
        <f>Légende!D$2</f>
        <v>DA SILVA Jocelin</v>
      </c>
      <c r="L36" s="5" t="str">
        <f>""</f>
        <v/>
      </c>
    </row>
    <row r="37" spans="1:12" s="5" customFormat="1" x14ac:dyDescent="0.25">
      <c r="A37" s="5" t="str">
        <f>"DIF-01"</f>
        <v>DIF-01</v>
      </c>
      <c r="B37" s="5" t="str">
        <f t="shared" si="4"/>
        <v>Administration</v>
      </c>
      <c r="C37" s="5" t="str">
        <f>"Consultation des niveaux de difficulté"</f>
        <v>Consultation des niveaux de difficulté</v>
      </c>
      <c r="D37" s="5" t="str">
        <f>"Vérifier que les niveaux de difficulté se chargent correctement dans le panneau admin."</f>
        <v>Vérifier que les niveaux de difficulté se chargent correctement dans le panneau admin.</v>
      </c>
      <c r="E37" s="5" t="str">
        <f t="shared" si="3"/>
        <v>Utilisateur authentifié avec rôle Admin.</v>
      </c>
      <c r="F37" s="5" t="str">
        <f>"Ouvrir l'administration et consulter le bloc des difficultés."</f>
        <v>Ouvrir l'administration et consulter le bloc des difficultés.</v>
      </c>
      <c r="G37" s="5" t="str">
        <f>"Niveaux de difficulté présents en base."</f>
        <v>Niveaux de difficulté présents en base.</v>
      </c>
      <c r="H37" s="5" t="str">
        <f>"Les niveaux disponibles sont affichés sans erreur et alimentent les formulaires concernés."</f>
        <v>Les niveaux disponibles sont affichés sans erreur et alimentent les formulaires concernés.</v>
      </c>
      <c r="I37" s="5" t="str">
        <f>Légende!B$2</f>
        <v>OK</v>
      </c>
      <c r="J37" s="5" t="str">
        <f>Légende!C$4</f>
        <v>Moyenne</v>
      </c>
      <c r="K37" s="5" t="str">
        <f>Légende!D$2</f>
        <v>DA SILVA Jocelin</v>
      </c>
      <c r="L37" s="5" t="str">
        <f>""</f>
        <v/>
      </c>
    </row>
    <row r="38" spans="1:12" s="5" customFormat="1" x14ac:dyDescent="0.25">
      <c r="A38" s="5" t="str">
        <f>"DIF-02"</f>
        <v>DIF-02</v>
      </c>
      <c r="B38" s="5" t="str">
        <f t="shared" si="4"/>
        <v>Administration</v>
      </c>
      <c r="C38" s="5" t="str">
        <f>"Gestion des niveaux de difficulté"</f>
        <v>Gestion des niveaux de difficulté</v>
      </c>
      <c r="D38" s="5" t="str">
        <f>"Vérifier qu'un administrateur peut créer, mettre à jour et supprimer un niveau de difficulté."</f>
        <v>Vérifier qu'un administrateur peut créer, mettre à jour et supprimer un niveau de difficulté.</v>
      </c>
      <c r="E38" s="5" t="str">
        <f t="shared" si="3"/>
        <v>Utilisateur authentifié avec rôle Admin.</v>
      </c>
      <c r="F38" s="5" t="str">
        <f>"Ouvrir la section difficultés et enchaîner les opérations."</f>
        <v>Ouvrir la section difficultés et enchaîner les opérations.</v>
      </c>
      <c r="G38" s="5" t="str">
        <f>"Niveau de difficulté valide."</f>
        <v>Niveau de difficulté valide.</v>
      </c>
      <c r="H38" s="5" t="str">
        <f>"Le niveau est correctement maintenu et les formulaires liés restent fonctionnels."</f>
        <v>Le niveau est correctement maintenu et les formulaires liés restent fonctionnels.</v>
      </c>
      <c r="I38" s="5" t="str">
        <f>Légende!B$2</f>
        <v>OK</v>
      </c>
      <c r="J38" s="5" t="str">
        <f>Légende!C$4</f>
        <v>Moyenne</v>
      </c>
      <c r="K38" s="5" t="str">
        <f>Légende!D$2</f>
        <v>DA SILVA Jocelin</v>
      </c>
      <c r="L38" s="5" t="str">
        <f>""</f>
        <v/>
      </c>
    </row>
    <row r="39" spans="1:12" s="1" customFormat="1" x14ac:dyDescent="0.25">
      <c r="A39" s="1" t="str">
        <f>"SEC-01"</f>
        <v>SEC-01</v>
      </c>
      <c r="B39" s="1" t="str">
        <f>"Sécurité"</f>
        <v>Sécurité</v>
      </c>
      <c r="C39" s="1" t="str">
        <f>"Injection JWT"</f>
        <v>Injection JWT</v>
      </c>
      <c r="D39" s="1" t="str">
        <f>"Vérifier que le jeton JWT est injecté automatiquement dans les requêtes authentifiées."</f>
        <v>Vérifier que le jeton JWT est injecté automatiquement dans les requêtes authentifiées.</v>
      </c>
      <c r="E39" s="1" t="str">
        <f>"Utilisateur connecté."</f>
        <v>Utilisateur connecté.</v>
      </c>
      <c r="F39" s="1" t="str">
        <f>"Déclencher une requête API protégée depuis le frontend."</f>
        <v>Déclencher une requête API protégée depuis le frontend.</v>
      </c>
      <c r="G39" s="1" t="str">
        <f>"Token de session valide."</f>
        <v>Token de session valide.</v>
      </c>
      <c r="H39" s="1" t="str">
        <f>"La requête contient l'en-tête Authorization avec le bearer token."</f>
        <v>La requête contient l'en-tête Authorization avec le bearer token.</v>
      </c>
      <c r="I39" s="1" t="str">
        <f>Légende!B$2</f>
        <v>OK</v>
      </c>
      <c r="J39" s="1" t="str">
        <f>Légende!C$2</f>
        <v>Critique</v>
      </c>
      <c r="K39" s="1" t="str">
        <f>Légende!D$2</f>
        <v>DA SILVA Jocelin</v>
      </c>
      <c r="L39" s="1" t="str">
        <f>""</f>
        <v/>
      </c>
    </row>
    <row r="40" spans="1:12" s="1" customFormat="1" x14ac:dyDescent="0.25">
      <c r="A40" s="1" t="str">
        <f>"SEC-02"</f>
        <v>SEC-02</v>
      </c>
      <c r="B40" s="1" t="str">
        <f>"Sécurité"</f>
        <v>Sécurité</v>
      </c>
      <c r="C40" s="1" t="str">
        <f>"Accès refusé pour rôle utilisateur"</f>
        <v>Accès refusé pour rôle utilisateur</v>
      </c>
      <c r="D40" s="1" t="str">
        <f>"Vérifier qu'un utilisateur standard ne peut pas exécuter une action admin."</f>
        <v>Vérifier qu'un utilisateur standard ne peut pas exécuter une action admin.</v>
      </c>
      <c r="E40" s="1" t="str">
        <f>"Utilisateur connecté avec rôle User."</f>
        <v>Utilisateur connecté avec rôle User.</v>
      </c>
      <c r="F40" s="1" t="str">
        <f>"Tenter de créer ou modifier un contenu protégé."</f>
        <v>Tenter de créer ou modifier un contenu protégé.</v>
      </c>
      <c r="G40" s="1" t="str">
        <f>"Compte non admin."</f>
        <v>Compte non admin.</v>
      </c>
      <c r="H40" s="1" t="str">
        <f>"L'API refuse la requête avec un code 403 Forbidden."</f>
        <v>L'API refuse la requête avec un code 403 Forbidden.</v>
      </c>
      <c r="I40" s="1" t="str">
        <f>Légende!B$2</f>
        <v>OK</v>
      </c>
      <c r="J40" s="1" t="str">
        <f>Légende!C$2</f>
        <v>Critique</v>
      </c>
      <c r="K40" s="1" t="str">
        <f>Légende!D$2</f>
        <v>DA SILVA Jocelin</v>
      </c>
      <c r="L40" s="1" t="str">
        <f>""</f>
        <v/>
      </c>
    </row>
    <row r="41" spans="1:12" s="1" customFormat="1" x14ac:dyDescent="0.25">
      <c r="A41" s="1" t="str">
        <f>"SEC-03"</f>
        <v>SEC-03</v>
      </c>
      <c r="B41" s="1" t="str">
        <f>"Sécurité"</f>
        <v>Sécurité</v>
      </c>
      <c r="C41" s="1" t="str">
        <f>"Accès sans authentification"</f>
        <v>Accès sans authentification</v>
      </c>
      <c r="D41" s="1" t="str">
        <f>"Vérifier qu'une requête protégée sans session est rejetée."</f>
        <v>Vérifier qu'une requête protégée sans session est rejetée.</v>
      </c>
      <c r="E41" s="1" t="str">
        <f>"Aucun token actif."</f>
        <v>Aucun token actif.</v>
      </c>
      <c r="F41" s="1" t="str">
        <f>"Appeler une route protégée ou lancer une action protégée."</f>
        <v>Appeler une route protégée ou lancer une action protégée.</v>
      </c>
      <c r="G41" s="1" t="str">
        <f>"Aucun jeton."</f>
        <v>Aucun jeton.</v>
      </c>
      <c r="H41" s="1" t="str">
        <f>"L'API renvoie une erreur d'authentification et aucune donnée sensible n'est exposée."</f>
        <v>L'API renvoie une erreur d'authentification et aucune donnée sensible n'est exposée.</v>
      </c>
      <c r="I41" s="1" t="str">
        <f>Légende!B$2</f>
        <v>OK</v>
      </c>
      <c r="J41" s="1" t="str">
        <f>Légende!C$2</f>
        <v>Critique</v>
      </c>
      <c r="K41" s="1" t="str">
        <f>Légende!D$2</f>
        <v>DA SILVA Jocelin</v>
      </c>
      <c r="L41" s="1" t="str">
        <f>""</f>
        <v/>
      </c>
    </row>
    <row r="42" spans="1:12" s="6" customFormat="1" x14ac:dyDescent="0.25">
      <c r="A42" s="6" t="str">
        <f>"API-01"</f>
        <v>API-01</v>
      </c>
      <c r="B42" s="6" t="str">
        <f>"API"</f>
        <v>API</v>
      </c>
      <c r="C42" s="6" t="str">
        <f>"Endpoints de base"</f>
        <v>Endpoints de base</v>
      </c>
      <c r="D42" s="6" t="str">
        <f>"Vérifier que les endpoints santé et bienvenue répondent correctement."</f>
        <v>Vérifier que les endpoints santé et bienvenue répondent correctement.</v>
      </c>
      <c r="E42" s="6" t="str">
        <f>"Backend démarré localement."</f>
        <v>Backend démarré localement.</v>
      </c>
      <c r="F42" s="6" t="str">
        <f>"Appeler les routes de santé et de bienvenue."</f>
        <v>Appeler les routes de santé et de bienvenue.</v>
      </c>
      <c r="G42" s="6" t="str">
        <f>"Aucune donnée spécifique."</f>
        <v>Aucune donnée spécifique.</v>
      </c>
      <c r="H42" s="6" t="str">
        <f>"Les endpoints renvoient une réponse HTTP valide et exploitable par le frontend ou les tests d'intégration."</f>
        <v>Les endpoints renvoient une réponse HTTP valide et exploitable par le frontend ou les tests d'intégration.</v>
      </c>
      <c r="I42" s="6" t="str">
        <f>Légende!B$2</f>
        <v>OK</v>
      </c>
      <c r="J42" s="6" t="str">
        <f>Légende!C$5</f>
        <v>Faible</v>
      </c>
      <c r="K42" s="6" t="str">
        <f>Légende!D$2</f>
        <v>DA SILVA Jocelin</v>
      </c>
      <c r="L42" s="6" t="str">
        <f>""</f>
        <v/>
      </c>
    </row>
    <row r="43" spans="1:12" s="6" customFormat="1" x14ac:dyDescent="0.25">
      <c r="A43" s="6" t="str">
        <f>"API-02"</f>
        <v>API-02</v>
      </c>
      <c r="B43" s="6" t="str">
        <f>"API"</f>
        <v>API</v>
      </c>
      <c r="C43" s="6" t="str">
        <f>"Santé de l'application"</f>
        <v>Santé de l'application</v>
      </c>
      <c r="D43" s="6" t="str">
        <f>"Vérifier que l'endpoint de santé répond avec un statut UP."</f>
        <v>Vérifier que l'endpoint de santé répond avec un statut UP.</v>
      </c>
      <c r="E43" s="6" t="str">
        <f>"Backend démarré localement."</f>
        <v>Backend démarré localement.</v>
      </c>
      <c r="F43" s="6" t="str">
        <f>"Appeler l'URL de santé de l'API."</f>
        <v>Appeler l'URL de santé de l'API.</v>
      </c>
      <c r="G43" s="6" t="str">
        <f>"Aucune donnée spécifique."</f>
        <v>Aucune donnée spécifique.</v>
      </c>
      <c r="H43" s="6" t="str">
        <f>"L'API renvoie une réponse JSON avec l'état UP."</f>
        <v>L'API renvoie une réponse JSON avec l'état UP.</v>
      </c>
      <c r="I43" s="6" t="str">
        <f>Légende!B$2</f>
        <v>OK</v>
      </c>
      <c r="J43" s="6" t="str">
        <f>Légende!C$5</f>
        <v>Faible</v>
      </c>
      <c r="K43" s="6" t="str">
        <f>Légende!D$2</f>
        <v>DA SILVA Jocelin</v>
      </c>
      <c r="L43" s="6" t="str">
        <f>""</f>
        <v/>
      </c>
    </row>
    <row r="44" spans="1:12" s="6" customFormat="1" x14ac:dyDescent="0.25">
      <c r="A44" s="6" t="str">
        <f>"API-03"</f>
        <v>API-03</v>
      </c>
      <c r="B44" s="6" t="str">
        <f>"API"</f>
        <v>API</v>
      </c>
      <c r="C44" s="6" t="str">
        <f>"Message de bienvenue"</f>
        <v>Message de bienvenue</v>
      </c>
      <c r="D44" s="6" t="str">
        <f>"Vérifier que l'endpoint de bienvenue renvoie un message et un horodatage."</f>
        <v>Vérifier que l'endpoint de bienvenue renvoie un message et un horodatage.</v>
      </c>
      <c r="E44" s="6" t="str">
        <f>"Backend démarré localement."</f>
        <v>Backend démarré localement.</v>
      </c>
      <c r="F44" s="6" t="str">
        <f>"Appeler l'URL de bienvenue avec un prénom."</f>
        <v>Appeler l'URL de bienvenue avec un prénom.</v>
      </c>
      <c r="G44" s="6" t="str">
        <f>"Prénom valide."</f>
        <v>Prénom valide.</v>
      </c>
      <c r="H44" s="6" t="str">
        <f>"Le message contient le prénom fourni et la réponse inclut un timestamp."</f>
        <v>Le message contient le prénom fourni et la réponse inclut un timestamp.</v>
      </c>
      <c r="I44" s="6" t="str">
        <f>Légende!B$2</f>
        <v>OK</v>
      </c>
      <c r="J44" s="6" t="str">
        <f>Légende!C$5</f>
        <v>Faible</v>
      </c>
      <c r="K44" s="6" t="str">
        <f>Légende!D$2</f>
        <v>DA SILVA Jocelin</v>
      </c>
      <c r="L44" s="6" t="str">
        <f>""</f>
        <v/>
      </c>
    </row>
    <row r="45" spans="1:12" s="9" customFormat="1" x14ac:dyDescent="0.25">
      <c r="A45" s="9" t="str">
        <f>"USR-01"</f>
        <v>USR-01</v>
      </c>
      <c r="B45" s="9" t="str">
        <f>"Administration"</f>
        <v>Administration</v>
      </c>
      <c r="C45" s="9" t="str">
        <f>"Liste des utilisateurs"</f>
        <v>Liste des utilisateurs</v>
      </c>
      <c r="D45" s="9" t="str">
        <f>"Vérifier qu'un administrateur peut consulter la liste des comptes utilisateur."</f>
        <v>Vérifier qu'un administrateur peut consulter la liste des comptes utilisateur.</v>
      </c>
      <c r="E45" s="9" t="str">
        <f>"Utilisateur authentifié avec rôle Admin."</f>
        <v>Utilisateur authentifié avec rôle Admin.</v>
      </c>
      <c r="F45" s="9" t="str">
        <f>"Ouvrir la section utilisateurs."</f>
        <v>Ouvrir la section utilisateurs.</v>
      </c>
      <c r="G45" s="9" t="str">
        <f>"Comptes utilisateurs en base."</f>
        <v>Comptes utilisateurs en base.</v>
      </c>
      <c r="H45" s="9" t="str">
        <f>"La liste s'affiche et permet les actions de gestion prévues."</f>
        <v>La liste s'affiche et permet les actions de gestion prévues.</v>
      </c>
      <c r="I45" s="9" t="str">
        <f>Légende!B$2</f>
        <v>OK</v>
      </c>
      <c r="J45" s="9" t="str">
        <f>Légende!C$3</f>
        <v>Haute</v>
      </c>
      <c r="K45" s="9" t="str">
        <f>Légende!D$2</f>
        <v>DA SILVA Jocelin</v>
      </c>
      <c r="L45" s="9" t="str">
        <f>""</f>
        <v/>
      </c>
    </row>
    <row r="46" spans="1:12" s="9" customFormat="1" x14ac:dyDescent="0.25">
      <c r="A46" s="9" t="str">
        <f>"USR-02"</f>
        <v>USR-02</v>
      </c>
      <c r="B46" s="9" t="str">
        <f>"Administration"</f>
        <v>Administration</v>
      </c>
      <c r="C46" s="9" t="str">
        <f>"Promotion d'un utilisateur"</f>
        <v>Promotion d'un utilisateur</v>
      </c>
      <c r="D46" s="9" t="str">
        <f>"Vérifier qu'un administrateur peut promouvoir un compte au rôle admin."</f>
        <v>Vérifier qu'un administrateur peut promouvoir un compte au rôle admin.</v>
      </c>
      <c r="E46" s="9" t="str">
        <f>"Utilisateur authentifié avec rôle Admin."</f>
        <v>Utilisateur authentifié avec rôle Admin.</v>
      </c>
      <c r="F46" s="9" t="str">
        <f>"Sélectionner un utilisateur et lancer l'action de promotion."</f>
        <v>Sélectionner un utilisateur et lancer l'action de promotion.</v>
      </c>
      <c r="G46" s="9" t="str">
        <f>"Compte utilisateur standard."</f>
        <v>Compte utilisateur standard.</v>
      </c>
      <c r="H46" s="9" t="str">
        <f>"Le rôle du compte est modifié et l'interface reflète l'état admin."</f>
        <v>Le rôle du compte est modifié et l'interface reflète l'état admin.</v>
      </c>
      <c r="I46" s="9" t="str">
        <f>Légende!B$2</f>
        <v>OK</v>
      </c>
      <c r="J46" s="9" t="str">
        <f>Légende!C$3</f>
        <v>Haute</v>
      </c>
      <c r="K46" s="9" t="str">
        <f>Légende!D$2</f>
        <v>DA SILVA Jocelin</v>
      </c>
      <c r="L46" s="9" t="str">
        <f>""</f>
        <v/>
      </c>
    </row>
    <row r="47" spans="1:12" s="9" customFormat="1" x14ac:dyDescent="0.25">
      <c r="A47" s="9" t="str">
        <f>"USR-03"</f>
        <v>USR-03</v>
      </c>
      <c r="B47" s="9" t="str">
        <f>"Administration"</f>
        <v>Administration</v>
      </c>
      <c r="C47" s="9" t="str">
        <f>"Désactivation d'un utilisateur"</f>
        <v>Désactivation d'un utilisateur</v>
      </c>
      <c r="D47" s="9" t="str">
        <f>"Vérifier qu'un administrateur peut désactiver un compte utilisateur."</f>
        <v>Vérifier qu'un administrateur peut désactiver un compte utilisateur.</v>
      </c>
      <c r="E47" s="9" t="str">
        <f>"Utilisateur authentifié avec rôle Admin."</f>
        <v>Utilisateur authentifié avec rôle Admin.</v>
      </c>
      <c r="F47" s="9" t="str">
        <f>"Sélectionner un utilisateur et lancer l'action de désactivation."</f>
        <v>Sélectionner un utilisateur et lancer l'action de désactivation.</v>
      </c>
      <c r="G47" s="9" t="str">
        <f>"Compte utilisateur actif."</f>
        <v>Compte utilisateur actif.</v>
      </c>
      <c r="H47" s="9" t="str">
        <f>"Le compte devient inactif et n'apparaît plus comme actif dans la liste."</f>
        <v>Le compte devient inactif et n'apparaît plus comme actif dans la liste.</v>
      </c>
      <c r="I47" s="9" t="str">
        <f>Légende!B$2</f>
        <v>OK</v>
      </c>
      <c r="J47" s="9" t="str">
        <f>Légende!C$3</f>
        <v>Haute</v>
      </c>
      <c r="K47" s="9" t="str">
        <f>Légende!D$2</f>
        <v>DA SILVA Jocelin</v>
      </c>
      <c r="L47" s="9" t="str">
        <f>""</f>
        <v/>
      </c>
    </row>
    <row r="48" spans="1:12" s="10" customFormat="1" x14ac:dyDescent="0.25">
      <c r="A48" s="10" t="str">
        <f>"NAV-01"</f>
        <v>NAV-01</v>
      </c>
      <c r="B48" s="10" t="str">
        <f>"Navigation"</f>
        <v>Navigation</v>
      </c>
      <c r="C48" s="10" t="str">
        <f>"Routage principal"</f>
        <v>Routage principal</v>
      </c>
      <c r="D48" s="10" t="str">
        <f>"Vérifier que les routes principales de l'application sont fonctionnelles."</f>
        <v>Vérifier que les routes principales de l'application sont fonctionnelles.</v>
      </c>
      <c r="E48" s="10" t="str">
        <f>"Application lancée."</f>
        <v>Application lancée.</v>
      </c>
      <c r="F48" s="10" t="str">
        <f>"Naviguer entre Accueil, Compte, Informations et Activités."</f>
        <v>Naviguer entre Accueil, Compte, Informations et Activités.</v>
      </c>
      <c r="G48" s="10" t="str">
        <f>"Aucune donnée spécifique."</f>
        <v>Aucune donnée spécifique.</v>
      </c>
      <c r="H48" s="10" t="str">
        <f>"Chaque route charge son composant sans boucle de redirection ni page blanche."</f>
        <v>Chaque route charge son composant sans boucle de redirection ni page blanche.</v>
      </c>
      <c r="I48" s="10" t="str">
        <f>Légende!B$2</f>
        <v>OK</v>
      </c>
      <c r="J48" s="10" t="str">
        <f>Légende!C$4</f>
        <v>Moyenne</v>
      </c>
      <c r="K48" s="10" t="str">
        <f>Légende!D$2</f>
        <v>DA SILVA Jocelin</v>
      </c>
      <c r="L48" s="10" t="str">
        <f>""</f>
        <v/>
      </c>
    </row>
    <row r="49" spans="1:12" s="10" customFormat="1" x14ac:dyDescent="0.25">
      <c r="A49" s="10" t="str">
        <f>"NAV-02"</f>
        <v>NAV-02</v>
      </c>
      <c r="B49" s="10" t="str">
        <f>"Navigation"</f>
        <v>Navigation</v>
      </c>
      <c r="C49" s="10" t="str">
        <f>"Barre de navigation et identité"</f>
        <v>Barre de navigation et identité</v>
      </c>
      <c r="D49" s="10" t="str">
        <f>"Vérifier que le menu et le nom de l'utilisateur connecté s'affichent correctement."</f>
        <v>Vérifier que le menu et le nom de l'utilisateur connecté s'affichent correctement.</v>
      </c>
      <c r="E49" s="10" t="str">
        <f>"Utilisateur connecté ou session restaurée."</f>
        <v>Utilisateur connecté ou session restaurée.</v>
      </c>
      <c r="F49" s="10" t="str">
        <f>"Ouvrir l'application et observer la barre de navigation."</f>
        <v>Ouvrir l'application et observer la barre de navigation.</v>
      </c>
      <c r="G49" s="10" t="str">
        <f>"Session locale valide."</f>
        <v>Session locale valide.</v>
      </c>
      <c r="H49" s="10" t="str">
        <f>"Le menu est fonctionnel et le nom affiché correspond à l'utilisateur courant."</f>
        <v>Le menu est fonctionnel et le nom affiché correspond à l'utilisateur courant.</v>
      </c>
      <c r="I49" s="10" t="str">
        <f>Légende!B$2</f>
        <v>OK</v>
      </c>
      <c r="J49" s="10" t="str">
        <f>Légende!C$5</f>
        <v>Faible</v>
      </c>
      <c r="K49" s="10" t="str">
        <f>Légende!D$2</f>
        <v>DA SILVA Jocelin</v>
      </c>
      <c r="L49" s="10" t="str">
        <f>""</f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8A29-442A-4783-BF2A-59A27B58DF97}">
  <dimension ref="A1:D5"/>
  <sheetViews>
    <sheetView workbookViewId="0">
      <selection activeCell="C3" sqref="C3"/>
    </sheetView>
  </sheetViews>
  <sheetFormatPr baseColWidth="10" defaultRowHeight="15.75" x14ac:dyDescent="0.25"/>
  <cols>
    <col min="1" max="1" width="8.75" bestFit="1" customWidth="1"/>
    <col min="4" max="4" width="14.25" bestFit="1" customWidth="1"/>
  </cols>
  <sheetData>
    <row r="1" spans="1:4" x14ac:dyDescent="0.25">
      <c r="A1" t="s">
        <v>8</v>
      </c>
      <c r="B1" t="s">
        <v>0</v>
      </c>
      <c r="C1" t="s">
        <v>1</v>
      </c>
      <c r="D1" t="s">
        <v>2</v>
      </c>
    </row>
    <row r="2" spans="1:4" x14ac:dyDescent="0.25">
      <c r="B2" t="s">
        <v>7</v>
      </c>
      <c r="C2" t="s">
        <v>5</v>
      </c>
      <c r="D2" t="s">
        <v>12</v>
      </c>
    </row>
    <row r="3" spans="1:4" x14ac:dyDescent="0.25">
      <c r="B3" t="s">
        <v>3</v>
      </c>
      <c r="C3" t="s">
        <v>6</v>
      </c>
    </row>
    <row r="4" spans="1:4" x14ac:dyDescent="0.25">
      <c r="B4" t="s">
        <v>9</v>
      </c>
      <c r="C4" t="s">
        <v>4</v>
      </c>
    </row>
    <row r="5" spans="1:4" x14ac:dyDescent="0.25">
      <c r="B5" t="s">
        <v>10</v>
      </c>
      <c r="C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FF1C21-21CC-4ED7-9AFA-92AFF0D4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Jocelin DS</cp:lastModifiedBy>
  <cp:lastPrinted>2026-05-20T17:06:50Z</cp:lastPrinted>
  <dcterms:modified xsi:type="dcterms:W3CDTF">2026-05-20T18:15:11Z</dcterms:modified>
</cp:coreProperties>
</file>